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WearableHapticsVR\ExperimentsData\"/>
    </mc:Choice>
  </mc:AlternateContent>
  <xr:revisionPtr revIDLastSave="0" documentId="13_ncr:1_{F3FC4624-3BE4-4C08-A58C-94A2312642B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SKTP Responses" sheetId="3" r:id="rId1"/>
    <sheet name="AMBLTR Response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5" i="4" l="1"/>
  <c r="K80" i="4"/>
  <c r="K79" i="4"/>
  <c r="K78" i="4"/>
  <c r="K77" i="4"/>
  <c r="K76" i="4"/>
  <c r="K76" i="3"/>
  <c r="K77" i="3"/>
  <c r="K78" i="3"/>
  <c r="K79" i="3"/>
  <c r="K80" i="3"/>
  <c r="K75" i="3"/>
  <c r="B75" i="4"/>
  <c r="I80" i="4"/>
  <c r="H80" i="4"/>
  <c r="G80" i="4"/>
  <c r="F80" i="4"/>
  <c r="E80" i="4"/>
  <c r="D80" i="4"/>
  <c r="C80" i="4"/>
  <c r="B80" i="4"/>
  <c r="I79" i="4"/>
  <c r="H79" i="4"/>
  <c r="G79" i="4"/>
  <c r="F79" i="4"/>
  <c r="E79" i="4"/>
  <c r="D79" i="4"/>
  <c r="C79" i="4"/>
  <c r="B79" i="4"/>
  <c r="I78" i="4"/>
  <c r="H78" i="4"/>
  <c r="G78" i="4"/>
  <c r="F78" i="4"/>
  <c r="E78" i="4"/>
  <c r="D78" i="4"/>
  <c r="C78" i="4"/>
  <c r="B78" i="4"/>
  <c r="I77" i="4"/>
  <c r="H77" i="4"/>
  <c r="G77" i="4"/>
  <c r="F77" i="4"/>
  <c r="E77" i="4"/>
  <c r="D77" i="4"/>
  <c r="C77" i="4"/>
  <c r="B77" i="4"/>
  <c r="I76" i="4"/>
  <c r="H76" i="4"/>
  <c r="G76" i="4"/>
  <c r="F76" i="4"/>
  <c r="E76" i="4"/>
  <c r="D76" i="4"/>
  <c r="C76" i="4"/>
  <c r="B76" i="4"/>
  <c r="I75" i="4"/>
  <c r="H75" i="4"/>
  <c r="G75" i="4"/>
  <c r="F75" i="4"/>
  <c r="E75" i="4"/>
  <c r="D75" i="4"/>
  <c r="C75" i="4"/>
  <c r="B80" i="3"/>
  <c r="C80" i="3"/>
  <c r="D80" i="3"/>
  <c r="E80" i="3"/>
  <c r="F80" i="3"/>
  <c r="G80" i="3"/>
  <c r="H80" i="3"/>
  <c r="I80" i="3"/>
  <c r="C79" i="3"/>
  <c r="D79" i="3"/>
  <c r="E79" i="3"/>
  <c r="F79" i="3"/>
  <c r="G79" i="3"/>
  <c r="H79" i="3"/>
  <c r="I79" i="3"/>
  <c r="B79" i="3"/>
  <c r="C78" i="3"/>
  <c r="D78" i="3"/>
  <c r="E78" i="3"/>
  <c r="F78" i="3"/>
  <c r="G78" i="3"/>
  <c r="H78" i="3"/>
  <c r="I78" i="3"/>
  <c r="B78" i="3"/>
  <c r="C77" i="3"/>
  <c r="D77" i="3"/>
  <c r="E77" i="3"/>
  <c r="F77" i="3"/>
  <c r="G77" i="3"/>
  <c r="H77" i="3"/>
  <c r="I77" i="3"/>
  <c r="B77" i="3"/>
  <c r="C76" i="3"/>
  <c r="D76" i="3"/>
  <c r="E76" i="3"/>
  <c r="F76" i="3"/>
  <c r="G76" i="3"/>
  <c r="H76" i="3"/>
  <c r="I76" i="3"/>
  <c r="B76" i="3"/>
  <c r="D75" i="3"/>
  <c r="C75" i="3"/>
  <c r="E75" i="3"/>
  <c r="F75" i="3"/>
  <c r="G75" i="3"/>
  <c r="H75" i="3"/>
  <c r="I75" i="3"/>
  <c r="B75" i="3"/>
</calcChain>
</file>

<file path=xl/sharedStrings.xml><?xml version="1.0" encoding="utf-8"?>
<sst xmlns="http://schemas.openxmlformats.org/spreadsheetml/2006/main" count="274" uniqueCount="101">
  <si>
    <t>Timestamp</t>
  </si>
  <si>
    <t>I, the experiment participant, am 18 years of age or above.</t>
  </si>
  <si>
    <t>I, the experiment participant, fully understand the above-stated experiment description and all involved risks:</t>
  </si>
  <si>
    <t>First name</t>
  </si>
  <si>
    <t>Age group</t>
  </si>
  <si>
    <t>Gender</t>
  </si>
  <si>
    <t>Number of removed and stacked blocks:</t>
  </si>
  <si>
    <t>Number of resets:</t>
  </si>
  <si>
    <t>Number of filled boards:</t>
  </si>
  <si>
    <t>I enjoyed doing this activity very much.</t>
  </si>
  <si>
    <t>This activity was fun to do.</t>
  </si>
  <si>
    <t>I thought this was a boring activity. (R)</t>
  </si>
  <si>
    <t>This activity did not hold my attention at all. (R)</t>
  </si>
  <si>
    <t>I would describe this activity as very interesting.</t>
  </si>
  <si>
    <t>I thought this activity was quite enjoyable.</t>
  </si>
  <si>
    <t>While I was doing this activity, I was thinking about how much I enjoyed it.</t>
  </si>
  <si>
    <t>I think I am pretty good at this activity.</t>
  </si>
  <si>
    <t>After working at this activity for awhile, I felt pretty competent.</t>
  </si>
  <si>
    <t>I am satisfied with my performance at this task.</t>
  </si>
  <si>
    <t>I was pretty skilled at this activity.</t>
  </si>
  <si>
    <t>This was an activity that I couldn't do very well. (R)</t>
  </si>
  <si>
    <t>I put a lot of effort into this.</t>
  </si>
  <si>
    <t>I didn't try very hard to do well at this activity. (R)</t>
  </si>
  <si>
    <t>I tried very hard on this activity.</t>
  </si>
  <si>
    <t>It was important to me to do well at this task.</t>
  </si>
  <si>
    <t>I didn't put much energy into this. (R)</t>
  </si>
  <si>
    <t>I did not feel nervous at all while doing this. (R)</t>
  </si>
  <si>
    <t>I felt very tense while doing this activity.</t>
  </si>
  <si>
    <t>I was very relaxed in doing these. (R)</t>
  </si>
  <si>
    <t>I was anxious while working on this task.</t>
  </si>
  <si>
    <t>I felt pressured while doing these.</t>
  </si>
  <si>
    <t>I believe I had some choice about doing this activity.</t>
  </si>
  <si>
    <t>I felt like it was not my own choice to do this task. (R)</t>
  </si>
  <si>
    <t>I didn't really have a choice about doing this task. (R)</t>
  </si>
  <si>
    <t>I felt like I had to do this. (R)</t>
  </si>
  <si>
    <t>I did this activity because I had no choice. (R)</t>
  </si>
  <si>
    <t>I did this activity because I wanted to.</t>
  </si>
  <si>
    <t>I did this activity because I had to. (R)</t>
  </si>
  <si>
    <t>I believe this activity could be of some value to me.</t>
  </si>
  <si>
    <t>I think that doing this activity is useful for more natural way of interaction with virtual objects.</t>
  </si>
  <si>
    <t>I think this is important to do because it can improve immersion.</t>
  </si>
  <si>
    <t>I would be willing to do this again because it has some value to me.</t>
  </si>
  <si>
    <t>I think doing this activity could help me to be more precise in virtual world.</t>
  </si>
  <si>
    <t>I believe doing this activity could be beneficial to me.</t>
  </si>
  <si>
    <t>I think this is an important activity.</t>
  </si>
  <si>
    <t>Annoying - Enjoyable</t>
  </si>
  <si>
    <t>Not understandable - Understandable</t>
  </si>
  <si>
    <t>Creative - Dull</t>
  </si>
  <si>
    <t>Easy to learn - Difficult to learn</t>
  </si>
  <si>
    <t>Valuable - Inferior</t>
  </si>
  <si>
    <t>Boring - Exciting</t>
  </si>
  <si>
    <t>Not interesting - Interesting</t>
  </si>
  <si>
    <t>Unpredictable - Predictable</t>
  </si>
  <si>
    <t>Fast - Slow</t>
  </si>
  <si>
    <t>Inventive - Conventional</t>
  </si>
  <si>
    <t>Obstructive - Supportive</t>
  </si>
  <si>
    <t>Good - Bad</t>
  </si>
  <si>
    <t>Complicated - Easy</t>
  </si>
  <si>
    <t>Unlikable - Pleasing</t>
  </si>
  <si>
    <t>Usual - Leading edge</t>
  </si>
  <si>
    <t>Unpleasant - Pleasant</t>
  </si>
  <si>
    <t>Secure - Not secure</t>
  </si>
  <si>
    <t>Motivating - Demotivating</t>
  </si>
  <si>
    <t>Meets expectations - Does not meet expectations</t>
  </si>
  <si>
    <t>Inefficient - Efficient</t>
  </si>
  <si>
    <t>Clear - Confusing</t>
  </si>
  <si>
    <t>Impractical - Practical</t>
  </si>
  <si>
    <t>Organized - Cluttered</t>
  </si>
  <si>
    <t>Attractive - Unattractive</t>
  </si>
  <si>
    <t>Friendly - Unfriendly</t>
  </si>
  <si>
    <t>Conservative - Innovative</t>
  </si>
  <si>
    <t>Yes</t>
  </si>
  <si>
    <t>18-25 years old</t>
  </si>
  <si>
    <t>Male</t>
  </si>
  <si>
    <t>26-35 years old</t>
  </si>
  <si>
    <t>Female</t>
  </si>
  <si>
    <t>I, the experiment participant, acknowledge that by answering yes to this question, I consent that the collected data will be used only for evaluation of results of this research:</t>
  </si>
  <si>
    <t>Interest/Enjoyment</t>
  </si>
  <si>
    <t>Perceived Competence</t>
  </si>
  <si>
    <t>Effort/Importance</t>
  </si>
  <si>
    <t>Pressure/Tension</t>
  </si>
  <si>
    <t>Perceived Choice</t>
  </si>
  <si>
    <t>Value/Usefulness</t>
  </si>
  <si>
    <t>--------------------IMI RESULTS--------------------</t>
  </si>
  <si>
    <t>I, the experiment participant, acknowledge that by answering yes to this question, I consent that the collected anonymous data will be used only for evaluation of results of this research:</t>
  </si>
  <si>
    <t>Average</t>
  </si>
  <si>
    <t>--------------------Participants Info--------------------</t>
  </si>
  <si>
    <t>3 out of 8</t>
  </si>
  <si>
    <t>5 out of 8</t>
  </si>
  <si>
    <t>6 out of 8</t>
  </si>
  <si>
    <t>2 out of 8</t>
  </si>
  <si>
    <t>7 out of 8</t>
  </si>
  <si>
    <t>1 out of 8</t>
  </si>
  <si>
    <t>A</t>
  </si>
  <si>
    <t>B</t>
  </si>
  <si>
    <t>C</t>
  </si>
  <si>
    <t xml:space="preserve">D 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</si>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</sst>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:ss"/>
    <numFmt numFmtId="165" formatCode="0.0%"/>
  </numFmts>
  <fonts count="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EDE7B-013B-46B1-8373-96AEBA5631AF}">
  <dimension ref="A1:K95"/>
  <sheetViews>
    <sheetView workbookViewId="0">
      <selection activeCell="A21" sqref="A21"/>
    </sheetView>
  </sheetViews>
  <sheetFormatPr defaultColWidth="8.85546875" defaultRowHeight="12.75" x14ac:dyDescent="0.2"/>
  <cols>
    <col min="1" max="1" width="88.140625" bestFit="1" customWidth="1"/>
    <col min="2" max="9" width="17" bestFit="1" customWidth="1"/>
    <col min="11" max="11" width="9.140625" style="4"/>
  </cols>
  <sheetData>
    <row r="1" spans="1:9" x14ac:dyDescent="0.2">
      <c r="A1" s="5" t="s">
        <v>0</v>
      </c>
      <c r="B1" s="2">
        <v>44733.566847870374</v>
      </c>
      <c r="C1" s="2">
        <v>44734.830321759262</v>
      </c>
      <c r="D1" s="2">
        <v>44739.622589224542</v>
      </c>
      <c r="E1" s="2">
        <v>44739.721792858792</v>
      </c>
      <c r="F1" s="2">
        <v>44739.753411793979</v>
      </c>
      <c r="G1" s="2">
        <v>44741.581950578708</v>
      </c>
      <c r="H1" s="2">
        <v>44741.621837870371</v>
      </c>
      <c r="I1" s="2">
        <v>44741.759334629634</v>
      </c>
    </row>
    <row r="2" spans="1:9" x14ac:dyDescent="0.2">
      <c r="A2" s="5" t="s">
        <v>1</v>
      </c>
      <c r="B2" s="1" t="s">
        <v>71</v>
      </c>
      <c r="C2" s="1" t="s">
        <v>71</v>
      </c>
      <c r="D2" s="1" t="s">
        <v>71</v>
      </c>
      <c r="E2" s="1" t="s">
        <v>71</v>
      </c>
      <c r="F2" s="1" t="s">
        <v>71</v>
      </c>
      <c r="G2" s="1" t="s">
        <v>71</v>
      </c>
      <c r="H2" s="1" t="s">
        <v>71</v>
      </c>
      <c r="I2" s="1" t="s">
        <v>71</v>
      </c>
    </row>
    <row r="3" spans="1:9" ht="25.5" x14ac:dyDescent="0.2">
      <c r="A3" s="6" t="s">
        <v>2</v>
      </c>
      <c r="B3" s="1" t="s">
        <v>71</v>
      </c>
      <c r="C3" s="1" t="s">
        <v>71</v>
      </c>
      <c r="D3" s="1" t="s">
        <v>71</v>
      </c>
      <c r="E3" s="1" t="s">
        <v>71</v>
      </c>
      <c r="F3" s="1" t="s">
        <v>71</v>
      </c>
      <c r="G3" s="1" t="s">
        <v>71</v>
      </c>
      <c r="H3" s="1" t="s">
        <v>71</v>
      </c>
      <c r="I3" s="1" t="s">
        <v>71</v>
      </c>
    </row>
    <row r="4" spans="1:9" ht="25.5" x14ac:dyDescent="0.2">
      <c r="A4" s="6" t="s">
        <v>76</v>
      </c>
      <c r="B4" s="1" t="s">
        <v>71</v>
      </c>
      <c r="C4" s="1" t="s">
        <v>71</v>
      </c>
      <c r="D4" s="1" t="s">
        <v>71</v>
      </c>
      <c r="E4" s="1" t="s">
        <v>71</v>
      </c>
      <c r="F4" s="1" t="s">
        <v>71</v>
      </c>
      <c r="G4" s="1" t="s">
        <v>71</v>
      </c>
      <c r="H4" s="1" t="s">
        <v>71</v>
      </c>
      <c r="I4" s="1" t="s">
        <v>71</v>
      </c>
    </row>
    <row r="5" spans="1:9" x14ac:dyDescent="0.2">
      <c r="A5" s="5" t="s">
        <v>3</v>
      </c>
      <c r="B5" s="1" t="s">
        <v>93</v>
      </c>
      <c r="C5" s="1" t="s">
        <v>94</v>
      </c>
      <c r="D5" s="1" t="s">
        <v>95</v>
      </c>
      <c r="E5" s="1" t="s">
        <v>96</v>
      </c>
      <c r="F5" s="1" t="s">
        <v>97</v>
      </c>
      <c r="G5" s="1" t="s">
        <v>98</v>
      </c>
      <c r="H5" s="1" t="s">
        <v>99</v>
      </c>
      <c r="I5" s="1" t="s">
        <v>100</v>
      </c>
    </row>
    <row r="6" spans="1:9" x14ac:dyDescent="0.2">
      <c r="A6" s="5" t="s">
        <v>4</v>
      </c>
      <c r="B6" s="7" t="s">
        <v>72</v>
      </c>
      <c r="C6" s="7" t="s">
        <v>74</v>
      </c>
      <c r="D6" s="1" t="s">
        <v>74</v>
      </c>
      <c r="E6" s="1" t="s">
        <v>74</v>
      </c>
      <c r="F6" s="1" t="s">
        <v>74</v>
      </c>
      <c r="G6" s="1" t="s">
        <v>72</v>
      </c>
      <c r="H6" s="1" t="s">
        <v>72</v>
      </c>
      <c r="I6" s="1" t="s">
        <v>74</v>
      </c>
    </row>
    <row r="7" spans="1:9" x14ac:dyDescent="0.2">
      <c r="A7" s="5" t="s">
        <v>5</v>
      </c>
      <c r="B7" s="1" t="s">
        <v>73</v>
      </c>
      <c r="C7" s="1" t="s">
        <v>73</v>
      </c>
      <c r="D7" s="1" t="s">
        <v>73</v>
      </c>
      <c r="E7" s="1" t="s">
        <v>73</v>
      </c>
      <c r="F7" s="1" t="s">
        <v>73</v>
      </c>
      <c r="G7" s="1" t="s">
        <v>75</v>
      </c>
      <c r="H7" s="1" t="s">
        <v>75</v>
      </c>
      <c r="I7" s="1" t="s">
        <v>73</v>
      </c>
    </row>
    <row r="8" spans="1:9" x14ac:dyDescent="0.2">
      <c r="A8" s="5" t="s">
        <v>6</v>
      </c>
      <c r="B8" s="1">
        <v>4</v>
      </c>
      <c r="C8" s="1">
        <v>6</v>
      </c>
      <c r="D8" s="1">
        <v>5</v>
      </c>
      <c r="E8" s="1">
        <v>3</v>
      </c>
      <c r="F8" s="1">
        <v>3</v>
      </c>
      <c r="G8" s="1">
        <v>2</v>
      </c>
      <c r="H8" s="1">
        <v>2</v>
      </c>
      <c r="I8" s="1">
        <v>2</v>
      </c>
    </row>
    <row r="9" spans="1:9" x14ac:dyDescent="0.2">
      <c r="A9" s="5" t="s">
        <v>7</v>
      </c>
      <c r="B9" s="1">
        <v>3</v>
      </c>
      <c r="C9" s="1">
        <v>7</v>
      </c>
      <c r="D9" s="1">
        <v>1</v>
      </c>
      <c r="E9" s="1">
        <v>1</v>
      </c>
      <c r="F9" s="1">
        <v>4</v>
      </c>
      <c r="G9" s="1">
        <v>1</v>
      </c>
      <c r="H9" s="1">
        <v>0</v>
      </c>
      <c r="I9" s="1">
        <v>1</v>
      </c>
    </row>
    <row r="10" spans="1:9" x14ac:dyDescent="0.2">
      <c r="A10" s="5" t="s">
        <v>8</v>
      </c>
      <c r="B10" s="1">
        <v>6</v>
      </c>
      <c r="C10" s="1">
        <v>6</v>
      </c>
      <c r="D10" s="1">
        <v>3</v>
      </c>
      <c r="E10" s="1">
        <v>2</v>
      </c>
      <c r="F10" s="1">
        <v>7</v>
      </c>
      <c r="G10" s="1">
        <v>5</v>
      </c>
      <c r="H10" s="1">
        <v>0</v>
      </c>
      <c r="I10" s="1">
        <v>6</v>
      </c>
    </row>
    <row r="11" spans="1:9" x14ac:dyDescent="0.2">
      <c r="A11" s="5" t="s">
        <v>9</v>
      </c>
      <c r="B11" s="1">
        <v>7</v>
      </c>
      <c r="C11" s="1">
        <v>6</v>
      </c>
      <c r="D11" s="1">
        <v>7</v>
      </c>
      <c r="E11" s="1">
        <v>5</v>
      </c>
      <c r="F11" s="1">
        <v>7</v>
      </c>
      <c r="G11" s="1">
        <v>7</v>
      </c>
      <c r="H11" s="1">
        <v>4</v>
      </c>
      <c r="I11" s="1">
        <v>7</v>
      </c>
    </row>
    <row r="12" spans="1:9" x14ac:dyDescent="0.2">
      <c r="A12" s="5" t="s">
        <v>10</v>
      </c>
      <c r="B12" s="1">
        <v>7</v>
      </c>
      <c r="C12" s="1">
        <v>6</v>
      </c>
      <c r="D12" s="1">
        <v>7</v>
      </c>
      <c r="E12" s="1">
        <v>6</v>
      </c>
      <c r="F12" s="1">
        <v>7</v>
      </c>
      <c r="G12" s="1">
        <v>7</v>
      </c>
      <c r="H12" s="1">
        <v>3</v>
      </c>
      <c r="I12" s="1">
        <v>7</v>
      </c>
    </row>
    <row r="13" spans="1:9" x14ac:dyDescent="0.2">
      <c r="A13" s="5" t="s">
        <v>11</v>
      </c>
      <c r="B13" s="1">
        <v>1</v>
      </c>
      <c r="C13" s="1">
        <v>1</v>
      </c>
      <c r="D13" s="1">
        <v>1</v>
      </c>
      <c r="E13" s="1">
        <v>2</v>
      </c>
      <c r="F13" s="1">
        <v>1</v>
      </c>
      <c r="G13" s="1">
        <v>1</v>
      </c>
      <c r="H13" s="1">
        <v>2</v>
      </c>
      <c r="I13" s="1">
        <v>1</v>
      </c>
    </row>
    <row r="14" spans="1:9" x14ac:dyDescent="0.2">
      <c r="A14" s="5" t="s">
        <v>12</v>
      </c>
      <c r="B14" s="1">
        <v>1</v>
      </c>
      <c r="C14" s="1">
        <v>1</v>
      </c>
      <c r="D14" s="1">
        <v>1</v>
      </c>
      <c r="E14" s="1">
        <v>2</v>
      </c>
      <c r="F14" s="1">
        <v>1</v>
      </c>
      <c r="G14" s="1">
        <v>1</v>
      </c>
      <c r="H14" s="1">
        <v>1</v>
      </c>
      <c r="I14" s="1">
        <v>1</v>
      </c>
    </row>
    <row r="15" spans="1:9" x14ac:dyDescent="0.2">
      <c r="A15" s="5" t="s">
        <v>13</v>
      </c>
      <c r="B15" s="1">
        <v>7</v>
      </c>
      <c r="C15" s="1">
        <v>7</v>
      </c>
      <c r="D15" s="1">
        <v>7</v>
      </c>
      <c r="E15" s="1">
        <v>5</v>
      </c>
      <c r="F15" s="1">
        <v>7</v>
      </c>
      <c r="G15" s="1">
        <v>6</v>
      </c>
      <c r="H15" s="1">
        <v>7</v>
      </c>
      <c r="I15" s="1">
        <v>7</v>
      </c>
    </row>
    <row r="16" spans="1:9" x14ac:dyDescent="0.2">
      <c r="A16" s="5" t="s">
        <v>14</v>
      </c>
      <c r="B16" s="1">
        <v>7</v>
      </c>
      <c r="C16" s="1">
        <v>5</v>
      </c>
      <c r="D16" s="1">
        <v>7</v>
      </c>
      <c r="E16" s="1">
        <v>5</v>
      </c>
      <c r="F16" s="1">
        <v>7</v>
      </c>
      <c r="G16" s="1">
        <v>7</v>
      </c>
      <c r="H16" s="1">
        <v>6</v>
      </c>
      <c r="I16" s="1">
        <v>7</v>
      </c>
    </row>
    <row r="17" spans="1:9" x14ac:dyDescent="0.2">
      <c r="A17" s="5" t="s">
        <v>15</v>
      </c>
      <c r="B17" s="1">
        <v>7</v>
      </c>
      <c r="C17" s="1">
        <v>5</v>
      </c>
      <c r="D17" s="1">
        <v>1</v>
      </c>
      <c r="E17" s="1">
        <v>4</v>
      </c>
      <c r="F17" s="1">
        <v>5</v>
      </c>
      <c r="G17" s="1">
        <v>5</v>
      </c>
      <c r="H17" s="1">
        <v>2</v>
      </c>
      <c r="I17" s="1">
        <v>6</v>
      </c>
    </row>
    <row r="18" spans="1:9" x14ac:dyDescent="0.2">
      <c r="A18" s="5" t="s">
        <v>16</v>
      </c>
      <c r="B18" s="1">
        <v>6</v>
      </c>
      <c r="C18" s="1">
        <v>5</v>
      </c>
      <c r="D18" s="1">
        <v>5</v>
      </c>
      <c r="E18" s="1">
        <v>2</v>
      </c>
      <c r="F18" s="1">
        <v>4</v>
      </c>
      <c r="G18" s="1">
        <v>2</v>
      </c>
      <c r="H18" s="1">
        <v>1</v>
      </c>
      <c r="I18" s="1">
        <v>5</v>
      </c>
    </row>
    <row r="19" spans="1:9" x14ac:dyDescent="0.2">
      <c r="A19" s="5" t="s">
        <v>17</v>
      </c>
      <c r="B19" s="1">
        <v>7</v>
      </c>
      <c r="C19" s="1">
        <v>5</v>
      </c>
      <c r="D19" s="1">
        <v>5</v>
      </c>
      <c r="E19" s="1">
        <v>4</v>
      </c>
      <c r="F19" s="1">
        <v>6</v>
      </c>
      <c r="G19" s="1">
        <v>3</v>
      </c>
      <c r="H19" s="1">
        <v>1</v>
      </c>
      <c r="I19" s="1">
        <v>7</v>
      </c>
    </row>
    <row r="20" spans="1:9" x14ac:dyDescent="0.2">
      <c r="A20" s="5" t="s">
        <v>18</v>
      </c>
      <c r="B20" s="1">
        <v>6</v>
      </c>
      <c r="C20" s="1">
        <v>5</v>
      </c>
      <c r="D20" s="1">
        <v>6</v>
      </c>
      <c r="E20" s="1">
        <v>5</v>
      </c>
      <c r="F20" s="1">
        <v>3</v>
      </c>
      <c r="G20" s="1">
        <v>2</v>
      </c>
      <c r="H20" s="1">
        <v>2</v>
      </c>
      <c r="I20" s="1">
        <v>5</v>
      </c>
    </row>
    <row r="21" spans="1:9" x14ac:dyDescent="0.2">
      <c r="A21" s="5" t="s">
        <v>19</v>
      </c>
      <c r="B21" s="1">
        <v>5</v>
      </c>
      <c r="C21" s="1">
        <v>5</v>
      </c>
      <c r="D21" s="1">
        <v>4</v>
      </c>
      <c r="E21" s="1">
        <v>2</v>
      </c>
      <c r="F21" s="1">
        <v>4</v>
      </c>
      <c r="G21" s="1">
        <v>2</v>
      </c>
      <c r="H21" s="1">
        <v>1</v>
      </c>
      <c r="I21" s="1">
        <v>4</v>
      </c>
    </row>
    <row r="22" spans="1:9" x14ac:dyDescent="0.2">
      <c r="A22" s="5" t="s">
        <v>20</v>
      </c>
      <c r="B22" s="1">
        <v>4</v>
      </c>
      <c r="C22" s="1">
        <v>3</v>
      </c>
      <c r="D22" s="1">
        <v>2</v>
      </c>
      <c r="E22" s="1">
        <v>4</v>
      </c>
      <c r="F22" s="1">
        <v>5</v>
      </c>
      <c r="G22" s="1">
        <v>6</v>
      </c>
      <c r="H22" s="1">
        <v>7</v>
      </c>
      <c r="I22" s="1">
        <v>1</v>
      </c>
    </row>
    <row r="23" spans="1:9" x14ac:dyDescent="0.2">
      <c r="A23" s="5" t="s">
        <v>21</v>
      </c>
      <c r="B23" s="1">
        <v>6</v>
      </c>
      <c r="C23" s="1">
        <v>6</v>
      </c>
      <c r="D23" s="1">
        <v>4</v>
      </c>
      <c r="E23" s="1">
        <v>5</v>
      </c>
      <c r="F23" s="1">
        <v>7</v>
      </c>
      <c r="G23" s="1">
        <v>7</v>
      </c>
      <c r="H23" s="1">
        <v>2</v>
      </c>
      <c r="I23" s="1">
        <v>7</v>
      </c>
    </row>
    <row r="24" spans="1:9" x14ac:dyDescent="0.2">
      <c r="A24" s="5" t="s">
        <v>22</v>
      </c>
      <c r="B24" s="1">
        <v>1</v>
      </c>
      <c r="C24" s="1">
        <v>2</v>
      </c>
      <c r="D24" s="1">
        <v>3</v>
      </c>
      <c r="E24" s="1">
        <v>1</v>
      </c>
      <c r="F24" s="1">
        <v>1</v>
      </c>
      <c r="G24" s="1">
        <v>1</v>
      </c>
      <c r="H24" s="1">
        <v>3</v>
      </c>
      <c r="I24" s="1">
        <v>1</v>
      </c>
    </row>
    <row r="25" spans="1:9" x14ac:dyDescent="0.2">
      <c r="A25" s="5" t="s">
        <v>23</v>
      </c>
      <c r="B25" s="1">
        <v>7</v>
      </c>
      <c r="C25" s="1">
        <v>6</v>
      </c>
      <c r="D25" s="1">
        <v>5</v>
      </c>
      <c r="E25" s="1">
        <v>3</v>
      </c>
      <c r="F25" s="1">
        <v>7</v>
      </c>
      <c r="G25" s="1">
        <v>7</v>
      </c>
      <c r="H25" s="1">
        <v>6</v>
      </c>
      <c r="I25" s="1">
        <v>7</v>
      </c>
    </row>
    <row r="26" spans="1:9" x14ac:dyDescent="0.2">
      <c r="A26" s="5" t="s">
        <v>24</v>
      </c>
      <c r="B26" s="1">
        <v>4</v>
      </c>
      <c r="C26" s="1">
        <v>6</v>
      </c>
      <c r="D26" s="1">
        <v>4</v>
      </c>
      <c r="E26" s="1">
        <v>5</v>
      </c>
      <c r="F26" s="1">
        <v>7</v>
      </c>
      <c r="G26" s="1">
        <v>5</v>
      </c>
      <c r="H26" s="1">
        <v>2</v>
      </c>
      <c r="I26" s="1">
        <v>7</v>
      </c>
    </row>
    <row r="27" spans="1:9" x14ac:dyDescent="0.2">
      <c r="A27" s="5" t="s">
        <v>25</v>
      </c>
      <c r="B27" s="1">
        <v>7</v>
      </c>
      <c r="C27" s="1">
        <v>2</v>
      </c>
      <c r="D27" s="1">
        <v>2</v>
      </c>
      <c r="E27" s="1">
        <v>4</v>
      </c>
      <c r="F27" s="1">
        <v>1</v>
      </c>
      <c r="G27" s="1">
        <v>2</v>
      </c>
      <c r="H27" s="1">
        <v>3</v>
      </c>
      <c r="I27" s="1">
        <v>1</v>
      </c>
    </row>
    <row r="28" spans="1:9" x14ac:dyDescent="0.2">
      <c r="A28" s="5" t="s">
        <v>26</v>
      </c>
      <c r="B28" s="1">
        <v>6</v>
      </c>
      <c r="C28" s="1">
        <v>2</v>
      </c>
      <c r="D28" s="1">
        <v>7</v>
      </c>
      <c r="E28" s="1">
        <v>2</v>
      </c>
      <c r="F28" s="1">
        <v>4</v>
      </c>
      <c r="G28" s="1">
        <v>1</v>
      </c>
      <c r="H28" s="1">
        <v>7</v>
      </c>
      <c r="I28" s="1">
        <v>5</v>
      </c>
    </row>
    <row r="29" spans="1:9" x14ac:dyDescent="0.2">
      <c r="A29" s="5" t="s">
        <v>27</v>
      </c>
      <c r="B29" s="1">
        <v>2</v>
      </c>
      <c r="C29" s="1">
        <v>6</v>
      </c>
      <c r="D29" s="1">
        <v>2</v>
      </c>
      <c r="E29" s="1">
        <v>5</v>
      </c>
      <c r="F29" s="1">
        <v>4</v>
      </c>
      <c r="G29" s="1">
        <v>5</v>
      </c>
      <c r="H29" s="1">
        <v>4</v>
      </c>
      <c r="I29" s="1">
        <v>3</v>
      </c>
    </row>
    <row r="30" spans="1:9" x14ac:dyDescent="0.2">
      <c r="A30" s="5" t="s">
        <v>28</v>
      </c>
      <c r="B30" s="1">
        <v>6</v>
      </c>
      <c r="C30" s="1">
        <v>2</v>
      </c>
      <c r="D30" s="1">
        <v>4</v>
      </c>
      <c r="E30" s="1">
        <v>2</v>
      </c>
      <c r="F30" s="1">
        <v>4</v>
      </c>
      <c r="G30" s="1">
        <v>3</v>
      </c>
      <c r="H30" s="1">
        <v>2</v>
      </c>
      <c r="I30" s="1">
        <v>6</v>
      </c>
    </row>
    <row r="31" spans="1:9" x14ac:dyDescent="0.2">
      <c r="A31" s="5" t="s">
        <v>29</v>
      </c>
      <c r="B31" s="1">
        <v>2</v>
      </c>
      <c r="C31" s="1">
        <v>3</v>
      </c>
      <c r="D31" s="1">
        <v>1</v>
      </c>
      <c r="E31" s="1">
        <v>6</v>
      </c>
      <c r="F31" s="1">
        <v>4</v>
      </c>
      <c r="G31" s="1">
        <v>5</v>
      </c>
      <c r="H31" s="1">
        <v>1</v>
      </c>
      <c r="I31" s="1">
        <v>5</v>
      </c>
    </row>
    <row r="32" spans="1:9" x14ac:dyDescent="0.2">
      <c r="A32" s="5" t="s">
        <v>30</v>
      </c>
      <c r="B32" s="1">
        <v>3</v>
      </c>
      <c r="C32" s="1">
        <v>2</v>
      </c>
      <c r="D32" s="1">
        <v>1</v>
      </c>
      <c r="E32" s="1">
        <v>6</v>
      </c>
      <c r="F32" s="1">
        <v>1</v>
      </c>
      <c r="G32" s="1">
        <v>6</v>
      </c>
      <c r="H32" s="1">
        <v>5</v>
      </c>
      <c r="I32" s="1">
        <v>6</v>
      </c>
    </row>
    <row r="33" spans="1:9" x14ac:dyDescent="0.2">
      <c r="A33" s="5" t="s">
        <v>31</v>
      </c>
      <c r="B33" s="1">
        <v>6</v>
      </c>
      <c r="C33" s="1">
        <v>4</v>
      </c>
      <c r="D33" s="1">
        <v>7</v>
      </c>
      <c r="E33" s="1">
        <v>7</v>
      </c>
      <c r="F33" s="1">
        <v>7</v>
      </c>
      <c r="G33" s="1">
        <v>6</v>
      </c>
      <c r="H33" s="1">
        <v>6</v>
      </c>
      <c r="I33" s="1">
        <v>7</v>
      </c>
    </row>
    <row r="34" spans="1:9" x14ac:dyDescent="0.2">
      <c r="A34" s="5" t="s">
        <v>32</v>
      </c>
      <c r="B34" s="1">
        <v>1</v>
      </c>
      <c r="C34" s="1">
        <v>2</v>
      </c>
      <c r="D34" s="1">
        <v>1</v>
      </c>
      <c r="E34" s="1">
        <v>1</v>
      </c>
      <c r="F34" s="1">
        <v>1</v>
      </c>
      <c r="G34" s="1">
        <v>2</v>
      </c>
      <c r="H34" s="1">
        <v>6</v>
      </c>
      <c r="I34" s="1">
        <v>1</v>
      </c>
    </row>
    <row r="35" spans="1:9" x14ac:dyDescent="0.2">
      <c r="A35" s="5" t="s">
        <v>33</v>
      </c>
      <c r="B35" s="1">
        <v>1</v>
      </c>
      <c r="C35" s="1">
        <v>2</v>
      </c>
      <c r="D35" s="1">
        <v>1</v>
      </c>
      <c r="E35" s="1">
        <v>1</v>
      </c>
      <c r="F35" s="1">
        <v>1</v>
      </c>
      <c r="G35" s="1">
        <v>1</v>
      </c>
      <c r="H35" s="1">
        <v>5</v>
      </c>
      <c r="I35" s="1">
        <v>1</v>
      </c>
    </row>
    <row r="36" spans="1:9" x14ac:dyDescent="0.2">
      <c r="A36" s="5" t="s">
        <v>34</v>
      </c>
      <c r="B36" s="1">
        <v>1</v>
      </c>
      <c r="C36" s="1">
        <v>2</v>
      </c>
      <c r="D36" s="1">
        <v>1</v>
      </c>
      <c r="E36" s="1">
        <v>4</v>
      </c>
      <c r="F36" s="1">
        <v>5</v>
      </c>
      <c r="G36" s="1">
        <v>3</v>
      </c>
      <c r="H36" s="1">
        <v>3</v>
      </c>
      <c r="I36" s="1">
        <v>7</v>
      </c>
    </row>
    <row r="37" spans="1:9" x14ac:dyDescent="0.2">
      <c r="A37" s="5" t="s">
        <v>35</v>
      </c>
      <c r="B37" s="1">
        <v>1</v>
      </c>
      <c r="C37" s="1">
        <v>2</v>
      </c>
      <c r="D37" s="1">
        <v>1</v>
      </c>
      <c r="E37" s="1">
        <v>1</v>
      </c>
      <c r="F37" s="1">
        <v>1</v>
      </c>
      <c r="G37" s="1">
        <v>1</v>
      </c>
      <c r="H37" s="1">
        <v>1</v>
      </c>
      <c r="I37" s="1">
        <v>1</v>
      </c>
    </row>
    <row r="38" spans="1:9" x14ac:dyDescent="0.2">
      <c r="A38" s="5" t="s">
        <v>36</v>
      </c>
      <c r="B38" s="1">
        <v>7</v>
      </c>
      <c r="C38" s="1">
        <v>6</v>
      </c>
      <c r="D38" s="1">
        <v>7</v>
      </c>
      <c r="E38" s="1">
        <v>7</v>
      </c>
      <c r="F38" s="1">
        <v>7</v>
      </c>
      <c r="G38" s="1">
        <v>6</v>
      </c>
      <c r="H38" s="1">
        <v>7</v>
      </c>
      <c r="I38" s="1">
        <v>7</v>
      </c>
    </row>
    <row r="39" spans="1:9" x14ac:dyDescent="0.2">
      <c r="A39" s="5" t="s">
        <v>37</v>
      </c>
      <c r="B39" s="1">
        <v>1</v>
      </c>
      <c r="C39" s="1">
        <v>2</v>
      </c>
      <c r="D39" s="1">
        <v>1</v>
      </c>
      <c r="E39" s="1">
        <v>1</v>
      </c>
      <c r="F39" s="1">
        <v>1</v>
      </c>
      <c r="G39" s="1">
        <v>4</v>
      </c>
      <c r="H39" s="1">
        <v>1</v>
      </c>
      <c r="I39" s="1">
        <v>1</v>
      </c>
    </row>
    <row r="40" spans="1:9" x14ac:dyDescent="0.2">
      <c r="A40" s="5" t="s">
        <v>38</v>
      </c>
      <c r="B40" s="1">
        <v>6</v>
      </c>
      <c r="C40" s="1">
        <v>5</v>
      </c>
      <c r="D40" s="1">
        <v>6</v>
      </c>
      <c r="E40" s="1">
        <v>5</v>
      </c>
      <c r="F40" s="1">
        <v>6</v>
      </c>
      <c r="G40" s="1">
        <v>5</v>
      </c>
      <c r="H40" s="1">
        <v>2</v>
      </c>
      <c r="I40" s="1">
        <v>7</v>
      </c>
    </row>
    <row r="41" spans="1:9" x14ac:dyDescent="0.2">
      <c r="A41" s="5" t="s">
        <v>39</v>
      </c>
      <c r="B41" s="1">
        <v>7</v>
      </c>
      <c r="C41" s="1">
        <v>4</v>
      </c>
      <c r="D41" s="1">
        <v>7</v>
      </c>
      <c r="E41" s="1">
        <v>5</v>
      </c>
      <c r="F41" s="1">
        <v>4</v>
      </c>
      <c r="G41" s="1">
        <v>6</v>
      </c>
      <c r="H41" s="1">
        <v>6</v>
      </c>
      <c r="I41" s="1">
        <v>7</v>
      </c>
    </row>
    <row r="42" spans="1:9" x14ac:dyDescent="0.2">
      <c r="A42" s="5" t="s">
        <v>40</v>
      </c>
      <c r="B42" s="1">
        <v>7</v>
      </c>
      <c r="C42" s="1">
        <v>5</v>
      </c>
      <c r="D42" s="1">
        <v>7</v>
      </c>
      <c r="E42" s="1">
        <v>5</v>
      </c>
      <c r="F42" s="1">
        <v>5</v>
      </c>
      <c r="G42" s="1">
        <v>5</v>
      </c>
      <c r="H42" s="1">
        <v>6</v>
      </c>
      <c r="I42" s="1">
        <v>7</v>
      </c>
    </row>
    <row r="43" spans="1:9" x14ac:dyDescent="0.2">
      <c r="A43" s="5" t="s">
        <v>41</v>
      </c>
      <c r="B43" s="1">
        <v>7</v>
      </c>
      <c r="C43" s="1">
        <v>5</v>
      </c>
      <c r="D43" s="1">
        <v>7</v>
      </c>
      <c r="E43" s="1">
        <v>5</v>
      </c>
      <c r="F43" s="1">
        <v>7</v>
      </c>
      <c r="G43" s="1">
        <v>7</v>
      </c>
      <c r="H43" s="1">
        <v>4</v>
      </c>
      <c r="I43" s="1">
        <v>7</v>
      </c>
    </row>
    <row r="44" spans="1:9" x14ac:dyDescent="0.2">
      <c r="A44" s="5" t="s">
        <v>42</v>
      </c>
      <c r="B44" s="1">
        <v>7</v>
      </c>
      <c r="C44" s="1">
        <v>5</v>
      </c>
      <c r="D44" s="1">
        <v>7</v>
      </c>
      <c r="E44" s="1">
        <v>4</v>
      </c>
      <c r="F44" s="1">
        <v>6</v>
      </c>
      <c r="G44" s="1">
        <v>2</v>
      </c>
      <c r="H44" s="1">
        <v>1</v>
      </c>
      <c r="I44" s="1">
        <v>7</v>
      </c>
    </row>
    <row r="45" spans="1:9" x14ac:dyDescent="0.2">
      <c r="A45" s="5" t="s">
        <v>43</v>
      </c>
      <c r="B45" s="1">
        <v>6</v>
      </c>
      <c r="C45" s="1">
        <v>4</v>
      </c>
      <c r="D45" s="1">
        <v>6</v>
      </c>
      <c r="E45" s="1">
        <v>5</v>
      </c>
      <c r="F45" s="1">
        <v>6</v>
      </c>
      <c r="G45" s="1">
        <v>5</v>
      </c>
      <c r="H45" s="1">
        <v>4</v>
      </c>
      <c r="I45" s="1">
        <v>7</v>
      </c>
    </row>
    <row r="46" spans="1:9" x14ac:dyDescent="0.2">
      <c r="A46" s="5" t="s">
        <v>44</v>
      </c>
      <c r="B46" s="1">
        <v>7</v>
      </c>
      <c r="C46" s="1">
        <v>6</v>
      </c>
      <c r="D46" s="1">
        <v>7</v>
      </c>
      <c r="E46" s="1">
        <v>4</v>
      </c>
      <c r="F46" s="1">
        <v>7</v>
      </c>
      <c r="G46" s="1">
        <v>6</v>
      </c>
      <c r="H46" s="1">
        <v>7</v>
      </c>
      <c r="I46" s="1">
        <v>7</v>
      </c>
    </row>
    <row r="47" spans="1:9" x14ac:dyDescent="0.2">
      <c r="A47" s="5" t="s">
        <v>45</v>
      </c>
      <c r="B47" s="1">
        <v>6</v>
      </c>
      <c r="C47" s="1">
        <v>5</v>
      </c>
      <c r="D47" s="1">
        <v>7</v>
      </c>
      <c r="E47" s="1">
        <v>6</v>
      </c>
      <c r="F47" s="1">
        <v>6</v>
      </c>
      <c r="G47" s="1">
        <v>6</v>
      </c>
      <c r="H47" s="1">
        <v>2</v>
      </c>
      <c r="I47" s="1">
        <v>7</v>
      </c>
    </row>
    <row r="48" spans="1:9" x14ac:dyDescent="0.2">
      <c r="A48" s="5" t="s">
        <v>46</v>
      </c>
      <c r="B48" s="1">
        <v>7</v>
      </c>
      <c r="C48" s="1">
        <v>6</v>
      </c>
      <c r="D48" s="1">
        <v>7</v>
      </c>
      <c r="E48" s="1">
        <v>6</v>
      </c>
      <c r="F48" s="1">
        <v>7</v>
      </c>
      <c r="G48" s="1">
        <v>6</v>
      </c>
      <c r="H48" s="1">
        <v>7</v>
      </c>
      <c r="I48" s="1">
        <v>7</v>
      </c>
    </row>
    <row r="49" spans="1:9" x14ac:dyDescent="0.2">
      <c r="A49" s="5" t="s">
        <v>47</v>
      </c>
      <c r="B49" s="1">
        <v>2</v>
      </c>
      <c r="C49" s="1">
        <v>3</v>
      </c>
      <c r="D49" s="1">
        <v>1</v>
      </c>
      <c r="E49" s="1">
        <v>2</v>
      </c>
      <c r="F49" s="1">
        <v>1</v>
      </c>
      <c r="G49" s="1">
        <v>1</v>
      </c>
      <c r="H49" s="1">
        <v>2</v>
      </c>
      <c r="I49" s="1">
        <v>2</v>
      </c>
    </row>
    <row r="50" spans="1:9" x14ac:dyDescent="0.2">
      <c r="A50" s="5" t="s">
        <v>48</v>
      </c>
      <c r="B50" s="1">
        <v>1</v>
      </c>
      <c r="C50" s="1">
        <v>2</v>
      </c>
      <c r="D50" s="1">
        <v>2</v>
      </c>
      <c r="E50" s="1">
        <v>3</v>
      </c>
      <c r="F50" s="1">
        <v>4</v>
      </c>
      <c r="G50" s="1">
        <v>2</v>
      </c>
      <c r="H50" s="1">
        <v>2</v>
      </c>
      <c r="I50" s="1">
        <v>2</v>
      </c>
    </row>
    <row r="51" spans="1:9" x14ac:dyDescent="0.2">
      <c r="A51" s="5" t="s">
        <v>49</v>
      </c>
      <c r="B51" s="1">
        <v>1</v>
      </c>
      <c r="C51" s="1">
        <v>3</v>
      </c>
      <c r="D51" s="1">
        <v>1</v>
      </c>
      <c r="E51" s="1">
        <v>2</v>
      </c>
      <c r="F51" s="1">
        <v>2</v>
      </c>
      <c r="G51" s="1">
        <v>2</v>
      </c>
      <c r="H51" s="1">
        <v>1</v>
      </c>
      <c r="I51" s="1">
        <v>1</v>
      </c>
    </row>
    <row r="52" spans="1:9" x14ac:dyDescent="0.2">
      <c r="A52" s="5" t="s">
        <v>50</v>
      </c>
      <c r="B52" s="1">
        <v>7</v>
      </c>
      <c r="C52" s="1">
        <v>6</v>
      </c>
      <c r="D52" s="1">
        <v>7</v>
      </c>
      <c r="E52" s="1">
        <v>6</v>
      </c>
      <c r="F52" s="1">
        <v>7</v>
      </c>
      <c r="G52" s="1">
        <v>7</v>
      </c>
      <c r="H52" s="1">
        <v>5</v>
      </c>
      <c r="I52" s="1">
        <v>7</v>
      </c>
    </row>
    <row r="53" spans="1:9" x14ac:dyDescent="0.2">
      <c r="A53" s="5" t="s">
        <v>51</v>
      </c>
      <c r="B53" s="1">
        <v>7</v>
      </c>
      <c r="C53" s="1">
        <v>6</v>
      </c>
      <c r="D53" s="1">
        <v>7</v>
      </c>
      <c r="E53" s="1">
        <v>6</v>
      </c>
      <c r="F53" s="1">
        <v>7</v>
      </c>
      <c r="G53" s="1">
        <v>7</v>
      </c>
      <c r="H53" s="1">
        <v>5</v>
      </c>
      <c r="I53" s="1">
        <v>7</v>
      </c>
    </row>
    <row r="54" spans="1:9" x14ac:dyDescent="0.2">
      <c r="A54" s="5" t="s">
        <v>52</v>
      </c>
      <c r="B54" s="1">
        <v>3</v>
      </c>
      <c r="C54" s="1">
        <v>3</v>
      </c>
      <c r="D54" s="1">
        <v>5</v>
      </c>
      <c r="E54" s="1">
        <v>6</v>
      </c>
      <c r="F54" s="1">
        <v>5</v>
      </c>
      <c r="G54" s="1">
        <v>3</v>
      </c>
      <c r="H54" s="1">
        <v>3</v>
      </c>
      <c r="I54" s="1">
        <v>5</v>
      </c>
    </row>
    <row r="55" spans="1:9" x14ac:dyDescent="0.2">
      <c r="A55" s="5" t="s">
        <v>53</v>
      </c>
      <c r="B55" s="1">
        <v>1</v>
      </c>
      <c r="C55" s="1">
        <v>6</v>
      </c>
      <c r="D55" s="1">
        <v>1</v>
      </c>
      <c r="E55" s="1">
        <v>5</v>
      </c>
      <c r="F55" s="1">
        <v>4</v>
      </c>
      <c r="G55" s="1">
        <v>5</v>
      </c>
      <c r="H55" s="1">
        <v>6</v>
      </c>
      <c r="I55" s="1">
        <v>3</v>
      </c>
    </row>
    <row r="56" spans="1:9" x14ac:dyDescent="0.2">
      <c r="A56" s="5" t="s">
        <v>54</v>
      </c>
      <c r="B56" s="1">
        <v>3</v>
      </c>
      <c r="C56" s="1">
        <v>2</v>
      </c>
      <c r="D56" s="1">
        <v>1</v>
      </c>
      <c r="E56" s="1">
        <v>3</v>
      </c>
      <c r="F56" s="1">
        <v>1</v>
      </c>
      <c r="G56" s="1">
        <v>1</v>
      </c>
      <c r="H56" s="1">
        <v>4</v>
      </c>
      <c r="I56" s="1">
        <v>2</v>
      </c>
    </row>
    <row r="57" spans="1:9" x14ac:dyDescent="0.2">
      <c r="A57" s="5" t="s">
        <v>55</v>
      </c>
      <c r="B57" s="1">
        <v>6</v>
      </c>
      <c r="C57" s="1">
        <v>5</v>
      </c>
      <c r="D57" s="1">
        <v>7</v>
      </c>
      <c r="E57" s="1">
        <v>5</v>
      </c>
      <c r="F57" s="1">
        <v>7</v>
      </c>
      <c r="G57" s="1">
        <v>5</v>
      </c>
      <c r="H57" s="1">
        <v>4</v>
      </c>
      <c r="I57" s="1">
        <v>6</v>
      </c>
    </row>
    <row r="58" spans="1:9" x14ac:dyDescent="0.2">
      <c r="A58" s="5" t="s">
        <v>56</v>
      </c>
      <c r="B58" s="1">
        <v>1</v>
      </c>
      <c r="C58" s="1">
        <v>2</v>
      </c>
      <c r="D58" s="1">
        <v>1</v>
      </c>
      <c r="E58" s="1">
        <v>4</v>
      </c>
      <c r="F58" s="1">
        <v>2</v>
      </c>
      <c r="G58" s="1">
        <v>2</v>
      </c>
      <c r="H58" s="1">
        <v>1</v>
      </c>
      <c r="I58" s="1">
        <v>3</v>
      </c>
    </row>
    <row r="59" spans="1:9" x14ac:dyDescent="0.2">
      <c r="A59" s="5" t="s">
        <v>57</v>
      </c>
      <c r="B59" s="1">
        <v>5</v>
      </c>
      <c r="C59" s="1">
        <v>2</v>
      </c>
      <c r="D59" s="1">
        <v>5</v>
      </c>
      <c r="E59" s="1">
        <v>3</v>
      </c>
      <c r="F59" s="1">
        <v>3</v>
      </c>
      <c r="G59" s="1">
        <v>5</v>
      </c>
      <c r="H59" s="1">
        <v>1</v>
      </c>
      <c r="I59" s="1">
        <v>5</v>
      </c>
    </row>
    <row r="60" spans="1:9" x14ac:dyDescent="0.2">
      <c r="A60" s="5" t="s">
        <v>58</v>
      </c>
      <c r="B60" s="1">
        <v>7</v>
      </c>
      <c r="C60" s="1">
        <v>6</v>
      </c>
      <c r="D60" s="1">
        <v>7</v>
      </c>
      <c r="E60" s="1">
        <v>6</v>
      </c>
      <c r="F60" s="1">
        <v>6</v>
      </c>
      <c r="G60" s="1">
        <v>6</v>
      </c>
      <c r="H60" s="1">
        <v>5</v>
      </c>
      <c r="I60" s="1">
        <v>7</v>
      </c>
    </row>
    <row r="61" spans="1:9" x14ac:dyDescent="0.2">
      <c r="A61" s="5" t="s">
        <v>59</v>
      </c>
      <c r="B61" s="1">
        <v>7</v>
      </c>
      <c r="C61" s="1">
        <v>5</v>
      </c>
      <c r="D61" s="1">
        <v>6</v>
      </c>
      <c r="E61" s="1">
        <v>4</v>
      </c>
      <c r="F61" s="1">
        <v>7</v>
      </c>
      <c r="G61" s="1">
        <v>7</v>
      </c>
      <c r="H61" s="1">
        <v>5</v>
      </c>
      <c r="I61" s="1">
        <v>7</v>
      </c>
    </row>
    <row r="62" spans="1:9" x14ac:dyDescent="0.2">
      <c r="A62" s="5" t="s">
        <v>60</v>
      </c>
      <c r="B62" s="1">
        <v>7</v>
      </c>
      <c r="C62" s="1">
        <v>6</v>
      </c>
      <c r="D62" s="1">
        <v>7</v>
      </c>
      <c r="E62" s="1">
        <v>5</v>
      </c>
      <c r="F62" s="1">
        <v>5</v>
      </c>
      <c r="G62" s="1">
        <v>6</v>
      </c>
      <c r="H62" s="1">
        <v>6</v>
      </c>
      <c r="I62" s="1">
        <v>7</v>
      </c>
    </row>
    <row r="63" spans="1:9" x14ac:dyDescent="0.2">
      <c r="A63" s="5" t="s">
        <v>61</v>
      </c>
      <c r="B63" s="1">
        <v>1</v>
      </c>
      <c r="C63" s="1">
        <v>2</v>
      </c>
      <c r="D63" s="1">
        <v>1</v>
      </c>
      <c r="E63" s="1">
        <v>2</v>
      </c>
      <c r="F63" s="1">
        <v>2</v>
      </c>
      <c r="G63" s="1">
        <v>2</v>
      </c>
      <c r="H63" s="1">
        <v>4</v>
      </c>
      <c r="I63" s="1">
        <v>1</v>
      </c>
    </row>
    <row r="64" spans="1:9" x14ac:dyDescent="0.2">
      <c r="A64" s="5" t="s">
        <v>62</v>
      </c>
      <c r="B64" s="1">
        <v>2</v>
      </c>
      <c r="C64" s="1">
        <v>1</v>
      </c>
      <c r="D64" s="1">
        <v>1</v>
      </c>
      <c r="E64" s="1">
        <v>2</v>
      </c>
      <c r="F64" s="1">
        <v>1</v>
      </c>
      <c r="G64" s="1">
        <v>3</v>
      </c>
      <c r="H64" s="1">
        <v>4</v>
      </c>
      <c r="I64" s="1">
        <v>1</v>
      </c>
    </row>
    <row r="65" spans="1:11" x14ac:dyDescent="0.2">
      <c r="A65" s="5" t="s">
        <v>63</v>
      </c>
      <c r="B65" s="1">
        <v>1</v>
      </c>
      <c r="C65" s="1">
        <v>4</v>
      </c>
      <c r="D65" s="1">
        <v>1</v>
      </c>
      <c r="E65" s="1">
        <v>4</v>
      </c>
      <c r="F65" s="1">
        <v>2</v>
      </c>
      <c r="G65" s="1">
        <v>2</v>
      </c>
      <c r="H65" s="1">
        <v>4</v>
      </c>
      <c r="I65" s="1">
        <v>2</v>
      </c>
    </row>
    <row r="66" spans="1:11" x14ac:dyDescent="0.2">
      <c r="A66" s="5" t="s">
        <v>64</v>
      </c>
      <c r="B66" s="1">
        <v>7</v>
      </c>
      <c r="C66" s="1">
        <v>3</v>
      </c>
      <c r="D66" s="1">
        <v>6</v>
      </c>
      <c r="E66" s="1">
        <v>4</v>
      </c>
      <c r="F66" s="1">
        <v>5</v>
      </c>
      <c r="G66" s="1">
        <v>5</v>
      </c>
      <c r="H66" s="1">
        <v>5</v>
      </c>
      <c r="I66" s="1">
        <v>7</v>
      </c>
    </row>
    <row r="67" spans="1:11" x14ac:dyDescent="0.2">
      <c r="A67" s="5" t="s">
        <v>65</v>
      </c>
      <c r="B67" s="1">
        <v>2</v>
      </c>
      <c r="C67" s="1">
        <v>2</v>
      </c>
      <c r="D67" s="1">
        <v>2</v>
      </c>
      <c r="E67" s="1">
        <v>2</v>
      </c>
      <c r="F67" s="1">
        <v>1</v>
      </c>
      <c r="G67" s="1">
        <v>1</v>
      </c>
      <c r="H67" s="1">
        <v>2</v>
      </c>
      <c r="I67" s="1">
        <v>1</v>
      </c>
    </row>
    <row r="68" spans="1:11" x14ac:dyDescent="0.2">
      <c r="A68" s="5" t="s">
        <v>66</v>
      </c>
      <c r="B68" s="1">
        <v>7</v>
      </c>
      <c r="C68" s="1">
        <v>5</v>
      </c>
      <c r="D68" s="1">
        <v>7</v>
      </c>
      <c r="E68" s="1">
        <v>6</v>
      </c>
      <c r="F68" s="1">
        <v>7</v>
      </c>
      <c r="G68" s="1">
        <v>6</v>
      </c>
      <c r="H68" s="1">
        <v>6</v>
      </c>
      <c r="I68" s="1">
        <v>7</v>
      </c>
    </row>
    <row r="69" spans="1:11" x14ac:dyDescent="0.2">
      <c r="A69" s="5" t="s">
        <v>67</v>
      </c>
      <c r="B69" s="1">
        <v>2</v>
      </c>
      <c r="C69" s="1">
        <v>1</v>
      </c>
      <c r="D69" s="1">
        <v>1</v>
      </c>
      <c r="E69" s="1">
        <v>2</v>
      </c>
      <c r="F69" s="1">
        <v>2</v>
      </c>
      <c r="G69" s="1">
        <v>4</v>
      </c>
      <c r="H69" s="1">
        <v>2</v>
      </c>
      <c r="I69" s="1">
        <v>1</v>
      </c>
    </row>
    <row r="70" spans="1:11" x14ac:dyDescent="0.2">
      <c r="A70" s="5" t="s">
        <v>68</v>
      </c>
      <c r="B70" s="1">
        <v>1</v>
      </c>
      <c r="C70" s="1">
        <v>3</v>
      </c>
      <c r="D70" s="1">
        <v>1</v>
      </c>
      <c r="E70" s="1">
        <v>3</v>
      </c>
      <c r="F70" s="1">
        <v>1</v>
      </c>
      <c r="G70" s="1">
        <v>1</v>
      </c>
      <c r="H70" s="1">
        <v>3</v>
      </c>
      <c r="I70" s="1">
        <v>1</v>
      </c>
    </row>
    <row r="71" spans="1:11" x14ac:dyDescent="0.2">
      <c r="A71" s="5" t="s">
        <v>69</v>
      </c>
      <c r="B71" s="1">
        <v>1</v>
      </c>
      <c r="C71" s="1">
        <v>4</v>
      </c>
      <c r="D71" s="1">
        <v>1</v>
      </c>
      <c r="E71" s="1">
        <v>3</v>
      </c>
      <c r="F71" s="1">
        <v>2</v>
      </c>
      <c r="G71" s="1">
        <v>2</v>
      </c>
      <c r="H71" s="1">
        <v>6</v>
      </c>
      <c r="I71" s="1">
        <v>1</v>
      </c>
    </row>
    <row r="72" spans="1:11" x14ac:dyDescent="0.2">
      <c r="A72" s="5" t="s">
        <v>70</v>
      </c>
      <c r="B72" s="1">
        <v>6</v>
      </c>
      <c r="C72" s="1">
        <v>6</v>
      </c>
      <c r="D72" s="1">
        <v>7</v>
      </c>
      <c r="E72" s="1">
        <v>5</v>
      </c>
      <c r="F72" s="1">
        <v>7</v>
      </c>
      <c r="G72" s="1">
        <v>7</v>
      </c>
      <c r="H72" s="1">
        <v>6</v>
      </c>
      <c r="I72" s="1">
        <v>7</v>
      </c>
    </row>
    <row r="74" spans="1:11" x14ac:dyDescent="0.2">
      <c r="A74" s="8" t="s">
        <v>83</v>
      </c>
      <c r="K74" s="4" t="s">
        <v>85</v>
      </c>
    </row>
    <row r="75" spans="1:11" x14ac:dyDescent="0.2">
      <c r="A75" s="5" t="s">
        <v>77</v>
      </c>
      <c r="B75" s="3">
        <f>(B11+B12+(8-B13)+(8-B14)+B15+B16+B17)/7</f>
        <v>7</v>
      </c>
      <c r="C75" s="3">
        <f t="shared" ref="C75:I75" si="0">(C11+C12+(8-C13)+(8-C14)+C15+C16+C17)/7</f>
        <v>6.1428571428571432</v>
      </c>
      <c r="D75" s="3">
        <f>(D11+D12+(8-D13)+(8-D14)+D15+D16+D17)/7</f>
        <v>6.1428571428571432</v>
      </c>
      <c r="E75" s="3">
        <f t="shared" si="0"/>
        <v>5.2857142857142856</v>
      </c>
      <c r="F75" s="3">
        <f t="shared" si="0"/>
        <v>6.7142857142857144</v>
      </c>
      <c r="G75" s="3">
        <f t="shared" si="0"/>
        <v>6.5714285714285712</v>
      </c>
      <c r="H75" s="3">
        <f t="shared" si="0"/>
        <v>5</v>
      </c>
      <c r="I75" s="3">
        <f t="shared" si="0"/>
        <v>6.8571428571428568</v>
      </c>
      <c r="K75" s="4">
        <f>AVERAGE(B75:I75)</f>
        <v>6.2142857142857135</v>
      </c>
    </row>
    <row r="76" spans="1:11" x14ac:dyDescent="0.2">
      <c r="A76" s="5" t="s">
        <v>78</v>
      </c>
      <c r="B76" s="3">
        <f>(SUM(B18:B21)+(8-B22))/5</f>
        <v>5.6</v>
      </c>
      <c r="C76" s="3">
        <f t="shared" ref="C76:I76" si="1">(SUM(C18:C21)+(8-C22))/5</f>
        <v>5</v>
      </c>
      <c r="D76" s="3">
        <f t="shared" si="1"/>
        <v>5.2</v>
      </c>
      <c r="E76" s="3">
        <f t="shared" si="1"/>
        <v>3.4</v>
      </c>
      <c r="F76" s="3">
        <f t="shared" si="1"/>
        <v>4</v>
      </c>
      <c r="G76" s="3">
        <f t="shared" si="1"/>
        <v>2.2000000000000002</v>
      </c>
      <c r="H76" s="3">
        <f t="shared" si="1"/>
        <v>1.2</v>
      </c>
      <c r="I76" s="3">
        <f t="shared" si="1"/>
        <v>5.6</v>
      </c>
      <c r="K76" s="4">
        <f t="shared" ref="K76:K80" si="2">AVERAGE(B76:I76)</f>
        <v>4.0249999999999995</v>
      </c>
    </row>
    <row r="77" spans="1:11" x14ac:dyDescent="0.2">
      <c r="A77" s="5" t="s">
        <v>79</v>
      </c>
      <c r="B77" s="3">
        <f>(B23+(8-B24)+B25+B26+(8-B27))/5</f>
        <v>5</v>
      </c>
      <c r="C77" s="3">
        <f t="shared" ref="C77:I77" si="3">(C23+(8-C24)+C25+C26+(8-C27))/5</f>
        <v>6</v>
      </c>
      <c r="D77" s="3">
        <f t="shared" si="3"/>
        <v>4.8</v>
      </c>
      <c r="E77" s="3">
        <f t="shared" si="3"/>
        <v>4.8</v>
      </c>
      <c r="F77" s="3">
        <f t="shared" si="3"/>
        <v>7</v>
      </c>
      <c r="G77" s="3">
        <f t="shared" si="3"/>
        <v>6.4</v>
      </c>
      <c r="H77" s="3">
        <f t="shared" si="3"/>
        <v>4</v>
      </c>
      <c r="I77" s="3">
        <f t="shared" si="3"/>
        <v>7</v>
      </c>
      <c r="K77" s="4">
        <f t="shared" si="2"/>
        <v>5.625</v>
      </c>
    </row>
    <row r="78" spans="1:11" x14ac:dyDescent="0.2">
      <c r="A78" s="5" t="s">
        <v>80</v>
      </c>
      <c r="B78" s="3">
        <f>((8-B28)+B29+(8-B30)+B31+B32)/5</f>
        <v>2.2000000000000002</v>
      </c>
      <c r="C78" s="3">
        <f t="shared" ref="C78:I78" si="4">((8-C28)+C29+(8-C30)+C31+C32)/5</f>
        <v>4.5999999999999996</v>
      </c>
      <c r="D78" s="3">
        <f t="shared" si="4"/>
        <v>1.8</v>
      </c>
      <c r="E78" s="3">
        <f t="shared" si="4"/>
        <v>5.8</v>
      </c>
      <c r="F78" s="3">
        <f t="shared" si="4"/>
        <v>3.4</v>
      </c>
      <c r="G78" s="3">
        <f t="shared" si="4"/>
        <v>5.6</v>
      </c>
      <c r="H78" s="3">
        <f t="shared" si="4"/>
        <v>3.4</v>
      </c>
      <c r="I78" s="3">
        <f t="shared" si="4"/>
        <v>3.8</v>
      </c>
      <c r="K78" s="4">
        <f t="shared" si="2"/>
        <v>3.8249999999999997</v>
      </c>
    </row>
    <row r="79" spans="1:11" x14ac:dyDescent="0.2">
      <c r="A79" s="5" t="s">
        <v>81</v>
      </c>
      <c r="B79" s="3">
        <f>(B33+((8*4)-SUM(B34:B37))+B38+(8-B39))/7</f>
        <v>6.8571428571428568</v>
      </c>
      <c r="C79" s="3">
        <f t="shared" ref="C79:I79" si="5">(C33+((8*4)-SUM(C34:C37))+C38+(8-C39))/7</f>
        <v>5.7142857142857144</v>
      </c>
      <c r="D79" s="3">
        <f t="shared" si="5"/>
        <v>7</v>
      </c>
      <c r="E79" s="3">
        <f t="shared" si="5"/>
        <v>6.5714285714285712</v>
      </c>
      <c r="F79" s="3">
        <f t="shared" si="5"/>
        <v>6.4285714285714288</v>
      </c>
      <c r="G79" s="3">
        <f t="shared" si="5"/>
        <v>5.8571428571428568</v>
      </c>
      <c r="H79" s="3">
        <f t="shared" si="5"/>
        <v>5.2857142857142856</v>
      </c>
      <c r="I79" s="3">
        <f t="shared" si="5"/>
        <v>6.1428571428571432</v>
      </c>
      <c r="K79" s="4">
        <f t="shared" si="2"/>
        <v>6.2321428571428568</v>
      </c>
    </row>
    <row r="80" spans="1:11" x14ac:dyDescent="0.2">
      <c r="A80" s="5" t="s">
        <v>82</v>
      </c>
      <c r="B80" s="3">
        <f>SUM(B40:B46)/7</f>
        <v>6.7142857142857144</v>
      </c>
      <c r="C80" s="3">
        <f t="shared" ref="C80:I80" si="6">SUM(C40:C46)/7</f>
        <v>4.8571428571428568</v>
      </c>
      <c r="D80" s="3">
        <f t="shared" si="6"/>
        <v>6.7142857142857144</v>
      </c>
      <c r="E80" s="3">
        <f t="shared" si="6"/>
        <v>4.7142857142857144</v>
      </c>
      <c r="F80" s="3">
        <f t="shared" si="6"/>
        <v>5.8571428571428568</v>
      </c>
      <c r="G80" s="3">
        <f t="shared" si="6"/>
        <v>5.1428571428571432</v>
      </c>
      <c r="H80" s="3">
        <f t="shared" si="6"/>
        <v>4.2857142857142856</v>
      </c>
      <c r="I80" s="3">
        <f t="shared" si="6"/>
        <v>7</v>
      </c>
      <c r="K80" s="4">
        <f t="shared" si="2"/>
        <v>5.6607142857142856</v>
      </c>
    </row>
    <row r="82" spans="1:8" x14ac:dyDescent="0.2">
      <c r="A82" s="11" t="s">
        <v>86</v>
      </c>
    </row>
    <row r="83" spans="1:8" x14ac:dyDescent="0.2">
      <c r="A83" s="10" t="s">
        <v>72</v>
      </c>
      <c r="B83" s="4" t="s">
        <v>87</v>
      </c>
      <c r="C83" s="12">
        <v>0.375</v>
      </c>
    </row>
    <row r="84" spans="1:8" x14ac:dyDescent="0.2">
      <c r="A84" s="10" t="s">
        <v>74</v>
      </c>
      <c r="B84" s="4" t="s">
        <v>88</v>
      </c>
      <c r="C84" s="12">
        <v>0.625</v>
      </c>
    </row>
    <row r="85" spans="1:8" x14ac:dyDescent="0.2">
      <c r="A85" s="10" t="s">
        <v>73</v>
      </c>
      <c r="B85" s="4" t="s">
        <v>89</v>
      </c>
      <c r="C85" s="12">
        <v>0.75</v>
      </c>
    </row>
    <row r="86" spans="1:8" x14ac:dyDescent="0.2">
      <c r="A86" s="10" t="s">
        <v>75</v>
      </c>
      <c r="B86" s="4" t="s">
        <v>90</v>
      </c>
      <c r="C86" s="12">
        <v>0.25</v>
      </c>
    </row>
    <row r="88" spans="1:8" x14ac:dyDescent="0.2">
      <c r="A88" s="11"/>
    </row>
    <row r="89" spans="1:8" x14ac:dyDescent="0.2">
      <c r="A89" s="10"/>
    </row>
    <row r="91" spans="1:8" x14ac:dyDescent="0.2">
      <c r="A91" s="11"/>
    </row>
    <row r="92" spans="1:8" x14ac:dyDescent="0.2">
      <c r="A92" s="10"/>
      <c r="H92" s="4"/>
    </row>
    <row r="93" spans="1:8" x14ac:dyDescent="0.2">
      <c r="A93" s="10"/>
    </row>
    <row r="94" spans="1:8" x14ac:dyDescent="0.2">
      <c r="A94" s="10"/>
    </row>
    <row r="95" spans="1:8" x14ac:dyDescent="0.2">
      <c r="A95" s="10"/>
    </row>
  </sheetData>
  <pageMargins left="0.7" right="0.7" top="0.75" bottom="0.75" header="0.3" footer="0.3"/>
  <pageSetup paperSize="9" orientation="portrait" horizontalDpi="0" verticalDpi="0" r:id="rId1"/>
  <ignoredErrors>
    <ignoredError sqref="C80:H80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5F647-9F5B-4A04-A133-56FE00B5536A}">
  <dimension ref="A1:K95"/>
  <sheetViews>
    <sheetView tabSelected="1" zoomScaleNormal="100" workbookViewId="0">
      <selection activeCell="C12" sqref="C12"/>
    </sheetView>
  </sheetViews>
  <sheetFormatPr defaultColWidth="8.85546875" defaultRowHeight="12.75" x14ac:dyDescent="0.2"/>
  <cols>
    <col min="1" max="1" width="88.140625" bestFit="1" customWidth="1"/>
    <col min="2" max="9" width="17" bestFit="1" customWidth="1"/>
  </cols>
  <sheetData>
    <row r="1" spans="1:9" x14ac:dyDescent="0.2">
      <c r="A1" s="5" t="s">
        <v>0</v>
      </c>
      <c r="B1" s="9">
        <v>44740.470441597223</v>
      </c>
      <c r="C1" s="9">
        <v>44740.499413622689</v>
      </c>
      <c r="D1" s="9">
        <v>44740.676305312503</v>
      </c>
      <c r="E1" s="9">
        <v>44740.722178368058</v>
      </c>
      <c r="F1" s="9">
        <v>44740.867908668981</v>
      </c>
      <c r="G1" s="9">
        <v>44741.402881655093</v>
      </c>
      <c r="H1" s="9">
        <v>44741.47282732639</v>
      </c>
      <c r="I1" s="9">
        <v>44741.787473645833</v>
      </c>
    </row>
    <row r="2" spans="1:9" x14ac:dyDescent="0.2">
      <c r="A2" s="5" t="s">
        <v>1</v>
      </c>
      <c r="B2" s="7" t="s">
        <v>71</v>
      </c>
      <c r="C2" s="7" t="s">
        <v>71</v>
      </c>
      <c r="D2" s="7" t="s">
        <v>71</v>
      </c>
      <c r="E2" s="7" t="s">
        <v>71</v>
      </c>
      <c r="F2" s="7" t="s">
        <v>71</v>
      </c>
      <c r="G2" s="7" t="s">
        <v>71</v>
      </c>
      <c r="H2" s="7" t="s">
        <v>71</v>
      </c>
      <c r="I2" s="7" t="s">
        <v>71</v>
      </c>
    </row>
    <row r="3" spans="1:9" ht="25.5" x14ac:dyDescent="0.2">
      <c r="A3" s="6" t="s">
        <v>2</v>
      </c>
      <c r="B3" s="7" t="s">
        <v>71</v>
      </c>
      <c r="C3" s="7" t="s">
        <v>71</v>
      </c>
      <c r="D3" s="7" t="s">
        <v>71</v>
      </c>
      <c r="E3" s="7" t="s">
        <v>71</v>
      </c>
      <c r="F3" s="7" t="s">
        <v>71</v>
      </c>
      <c r="G3" s="7" t="s">
        <v>71</v>
      </c>
      <c r="H3" s="7" t="s">
        <v>71</v>
      </c>
      <c r="I3" s="7" t="s">
        <v>71</v>
      </c>
    </row>
    <row r="4" spans="1:9" ht="25.5" x14ac:dyDescent="0.2">
      <c r="A4" s="6" t="s">
        <v>84</v>
      </c>
      <c r="B4" s="7" t="s">
        <v>71</v>
      </c>
      <c r="C4" s="7" t="s">
        <v>71</v>
      </c>
      <c r="D4" s="7" t="s">
        <v>71</v>
      </c>
      <c r="E4" s="7" t="s">
        <v>71</v>
      </c>
      <c r="F4" s="7" t="s">
        <v>71</v>
      </c>
      <c r="G4" s="7" t="s">
        <v>71</v>
      </c>
      <c r="H4" s="7" t="s">
        <v>71</v>
      </c>
      <c r="I4" s="7" t="s">
        <v>71</v>
      </c>
    </row>
    <row r="5" spans="1:9" x14ac:dyDescent="0.2">
      <c r="A5" s="5" t="s">
        <v>3</v>
      </c>
      <c r="B5" s="1" t="s">
        <v>93</v>
      </c>
      <c r="C5" s="1" t="s">
        <v>94</v>
      </c>
      <c r="D5" s="1" t="s">
        <v>95</v>
      </c>
      <c r="E5" s="1" t="s">
        <v>96</v>
      </c>
      <c r="F5" s="1" t="s">
        <v>97</v>
      </c>
      <c r="G5" s="1" t="s">
        <v>98</v>
      </c>
      <c r="H5" s="1" t="s">
        <v>99</v>
      </c>
      <c r="I5" s="1" t="s">
        <v>100</v>
      </c>
    </row>
    <row r="6" spans="1:9" x14ac:dyDescent="0.2">
      <c r="A6" s="5" t="s">
        <v>4</v>
      </c>
      <c r="B6" s="7" t="s">
        <v>72</v>
      </c>
      <c r="C6" s="7" t="s">
        <v>72</v>
      </c>
      <c r="D6" s="7" t="s">
        <v>72</v>
      </c>
      <c r="E6" s="7" t="s">
        <v>72</v>
      </c>
      <c r="F6" s="7" t="s">
        <v>72</v>
      </c>
      <c r="G6" s="7" t="s">
        <v>72</v>
      </c>
      <c r="H6" s="7" t="s">
        <v>72</v>
      </c>
      <c r="I6" s="7" t="s">
        <v>74</v>
      </c>
    </row>
    <row r="7" spans="1:9" x14ac:dyDescent="0.2">
      <c r="A7" s="5" t="s">
        <v>5</v>
      </c>
      <c r="B7" s="7" t="s">
        <v>75</v>
      </c>
      <c r="C7" s="7" t="s">
        <v>73</v>
      </c>
      <c r="D7" s="7" t="s">
        <v>73</v>
      </c>
      <c r="E7" s="7" t="s">
        <v>75</v>
      </c>
      <c r="F7" s="7" t="s">
        <v>73</v>
      </c>
      <c r="G7" s="7" t="s">
        <v>73</v>
      </c>
      <c r="H7" s="7" t="s">
        <v>75</v>
      </c>
      <c r="I7" s="7" t="s">
        <v>73</v>
      </c>
    </row>
    <row r="8" spans="1:9" x14ac:dyDescent="0.2">
      <c r="A8" s="5" t="s">
        <v>6</v>
      </c>
      <c r="B8" s="7">
        <v>1</v>
      </c>
      <c r="C8" s="7">
        <v>4</v>
      </c>
      <c r="D8" s="7">
        <v>1</v>
      </c>
      <c r="E8" s="7">
        <v>5</v>
      </c>
      <c r="F8" s="7">
        <v>2</v>
      </c>
      <c r="G8" s="7">
        <v>2</v>
      </c>
      <c r="H8" s="7">
        <v>4</v>
      </c>
      <c r="I8" s="7">
        <v>5</v>
      </c>
    </row>
    <row r="9" spans="1:9" x14ac:dyDescent="0.2">
      <c r="A9" s="5" t="s">
        <v>7</v>
      </c>
      <c r="B9" s="7">
        <v>0</v>
      </c>
      <c r="C9" s="7">
        <v>3</v>
      </c>
      <c r="D9" s="7">
        <v>1</v>
      </c>
      <c r="E9" s="7">
        <v>1</v>
      </c>
      <c r="F9" s="7">
        <v>4</v>
      </c>
      <c r="G9" s="7">
        <v>3</v>
      </c>
      <c r="H9" s="7">
        <v>2</v>
      </c>
      <c r="I9" s="7">
        <v>4</v>
      </c>
    </row>
    <row r="10" spans="1:9" x14ac:dyDescent="0.2">
      <c r="A10" s="5" t="s">
        <v>8</v>
      </c>
      <c r="B10" s="7">
        <v>2</v>
      </c>
      <c r="C10" s="7">
        <v>1</v>
      </c>
      <c r="D10" s="7">
        <v>2</v>
      </c>
      <c r="E10" s="7">
        <v>1</v>
      </c>
      <c r="F10" s="7">
        <v>2</v>
      </c>
      <c r="G10" s="7">
        <v>7</v>
      </c>
      <c r="H10" s="7">
        <v>4</v>
      </c>
      <c r="I10" s="7">
        <v>4</v>
      </c>
    </row>
    <row r="11" spans="1:9" x14ac:dyDescent="0.2">
      <c r="A11" s="5" t="s">
        <v>9</v>
      </c>
      <c r="B11" s="7">
        <v>6</v>
      </c>
      <c r="C11" s="7">
        <v>7</v>
      </c>
      <c r="D11" s="7">
        <v>6</v>
      </c>
      <c r="E11" s="7">
        <v>7</v>
      </c>
      <c r="F11" s="7">
        <v>7</v>
      </c>
      <c r="G11" s="7">
        <v>7</v>
      </c>
      <c r="H11" s="7">
        <v>7</v>
      </c>
      <c r="I11" s="7">
        <v>5</v>
      </c>
    </row>
    <row r="12" spans="1:9" x14ac:dyDescent="0.2">
      <c r="A12" s="5" t="s">
        <v>10</v>
      </c>
      <c r="B12" s="7">
        <v>5</v>
      </c>
      <c r="C12" s="7">
        <v>6</v>
      </c>
      <c r="D12" s="7">
        <v>6</v>
      </c>
      <c r="E12" s="7">
        <v>7</v>
      </c>
      <c r="F12" s="7">
        <v>7</v>
      </c>
      <c r="G12" s="7">
        <v>7</v>
      </c>
      <c r="H12" s="7">
        <v>7</v>
      </c>
      <c r="I12" s="7">
        <v>6</v>
      </c>
    </row>
    <row r="13" spans="1:9" x14ac:dyDescent="0.2">
      <c r="A13" s="5" t="s">
        <v>11</v>
      </c>
      <c r="B13" s="7">
        <v>3</v>
      </c>
      <c r="C13" s="7">
        <v>2</v>
      </c>
      <c r="D13" s="7">
        <v>1</v>
      </c>
      <c r="E13" s="7">
        <v>1</v>
      </c>
      <c r="F13" s="7">
        <v>1</v>
      </c>
      <c r="G13" s="7">
        <v>1</v>
      </c>
      <c r="H13" s="7">
        <v>1</v>
      </c>
      <c r="I13" s="7">
        <v>1</v>
      </c>
    </row>
    <row r="14" spans="1:9" x14ac:dyDescent="0.2">
      <c r="A14" s="5" t="s">
        <v>12</v>
      </c>
      <c r="B14" s="7">
        <v>2</v>
      </c>
      <c r="C14" s="7">
        <v>1</v>
      </c>
      <c r="D14" s="7">
        <v>1</v>
      </c>
      <c r="E14" s="7">
        <v>1</v>
      </c>
      <c r="F14" s="7">
        <v>2</v>
      </c>
      <c r="G14" s="7">
        <v>1</v>
      </c>
      <c r="H14" s="7">
        <v>7</v>
      </c>
      <c r="I14" s="7">
        <v>1</v>
      </c>
    </row>
    <row r="15" spans="1:9" x14ac:dyDescent="0.2">
      <c r="A15" s="5" t="s">
        <v>13</v>
      </c>
      <c r="B15" s="7">
        <v>4</v>
      </c>
      <c r="C15" s="7">
        <v>7</v>
      </c>
      <c r="D15" s="7">
        <v>6</v>
      </c>
      <c r="E15" s="7">
        <v>7</v>
      </c>
      <c r="F15" s="7">
        <v>7</v>
      </c>
      <c r="G15" s="7">
        <v>7</v>
      </c>
      <c r="H15" s="7">
        <v>7</v>
      </c>
      <c r="I15" s="7">
        <v>5</v>
      </c>
    </row>
    <row r="16" spans="1:9" x14ac:dyDescent="0.2">
      <c r="A16" s="5" t="s">
        <v>14</v>
      </c>
      <c r="B16" s="7">
        <v>5</v>
      </c>
      <c r="C16" s="7">
        <v>7</v>
      </c>
      <c r="D16" s="7">
        <v>6</v>
      </c>
      <c r="E16" s="7">
        <v>7</v>
      </c>
      <c r="F16" s="7">
        <v>7</v>
      </c>
      <c r="G16" s="7">
        <v>7</v>
      </c>
      <c r="H16" s="7">
        <v>6</v>
      </c>
      <c r="I16" s="7">
        <v>7</v>
      </c>
    </row>
    <row r="17" spans="1:9" x14ac:dyDescent="0.2">
      <c r="A17" s="5" t="s">
        <v>15</v>
      </c>
      <c r="B17" s="7">
        <v>4</v>
      </c>
      <c r="C17" s="7">
        <v>3</v>
      </c>
      <c r="D17" s="7">
        <v>6</v>
      </c>
      <c r="E17" s="7">
        <v>7</v>
      </c>
      <c r="F17" s="7">
        <v>6</v>
      </c>
      <c r="G17" s="7">
        <v>7</v>
      </c>
      <c r="H17" s="7">
        <v>1</v>
      </c>
      <c r="I17" s="7">
        <v>5</v>
      </c>
    </row>
    <row r="18" spans="1:9" x14ac:dyDescent="0.2">
      <c r="A18" s="5" t="s">
        <v>16</v>
      </c>
      <c r="B18" s="7">
        <v>3</v>
      </c>
      <c r="C18" s="7">
        <v>5</v>
      </c>
      <c r="D18" s="7">
        <v>4</v>
      </c>
      <c r="E18" s="7">
        <v>6</v>
      </c>
      <c r="F18" s="7">
        <v>3</v>
      </c>
      <c r="G18" s="7">
        <v>5</v>
      </c>
      <c r="H18" s="7">
        <v>3</v>
      </c>
      <c r="I18" s="7">
        <v>7</v>
      </c>
    </row>
    <row r="19" spans="1:9" x14ac:dyDescent="0.2">
      <c r="A19" s="5" t="s">
        <v>17</v>
      </c>
      <c r="B19" s="7">
        <v>7</v>
      </c>
      <c r="C19" s="7">
        <v>6</v>
      </c>
      <c r="D19" s="7">
        <v>5</v>
      </c>
      <c r="E19" s="7">
        <v>7</v>
      </c>
      <c r="F19" s="7">
        <v>6</v>
      </c>
      <c r="G19" s="7">
        <v>6</v>
      </c>
      <c r="H19" s="7">
        <v>6</v>
      </c>
      <c r="I19" s="7">
        <v>6</v>
      </c>
    </row>
    <row r="20" spans="1:9" x14ac:dyDescent="0.2">
      <c r="A20" s="5" t="s">
        <v>18</v>
      </c>
      <c r="B20" s="7">
        <v>3</v>
      </c>
      <c r="C20" s="7">
        <v>5</v>
      </c>
      <c r="D20" s="7">
        <v>5</v>
      </c>
      <c r="E20" s="7">
        <v>5</v>
      </c>
      <c r="F20" s="7">
        <v>1</v>
      </c>
      <c r="G20" s="7">
        <v>7</v>
      </c>
      <c r="H20" s="7">
        <v>4</v>
      </c>
      <c r="I20" s="7">
        <v>7</v>
      </c>
    </row>
    <row r="21" spans="1:9" x14ac:dyDescent="0.2">
      <c r="A21" s="5" t="s">
        <v>19</v>
      </c>
      <c r="B21" s="7">
        <v>5</v>
      </c>
      <c r="C21" s="7">
        <v>5</v>
      </c>
      <c r="D21" s="7">
        <v>4</v>
      </c>
      <c r="E21" s="7">
        <v>7</v>
      </c>
      <c r="F21" s="7">
        <v>3</v>
      </c>
      <c r="G21" s="7">
        <v>5</v>
      </c>
      <c r="H21" s="7">
        <v>3</v>
      </c>
      <c r="I21" s="7">
        <v>6</v>
      </c>
    </row>
    <row r="22" spans="1:9" x14ac:dyDescent="0.2">
      <c r="A22" s="5" t="s">
        <v>20</v>
      </c>
      <c r="B22" s="7">
        <v>5</v>
      </c>
      <c r="C22" s="7">
        <v>2</v>
      </c>
      <c r="D22" s="7">
        <v>4</v>
      </c>
      <c r="E22" s="7">
        <v>1</v>
      </c>
      <c r="F22" s="7">
        <v>4</v>
      </c>
      <c r="G22" s="7">
        <v>3</v>
      </c>
      <c r="H22" s="7">
        <v>5</v>
      </c>
      <c r="I22" s="7">
        <v>6</v>
      </c>
    </row>
    <row r="23" spans="1:9" x14ac:dyDescent="0.2">
      <c r="A23" s="5" t="s">
        <v>21</v>
      </c>
      <c r="B23" s="7">
        <v>6</v>
      </c>
      <c r="C23" s="7">
        <v>7</v>
      </c>
      <c r="D23" s="7">
        <v>4</v>
      </c>
      <c r="E23" s="7">
        <v>7</v>
      </c>
      <c r="F23" s="7">
        <v>4</v>
      </c>
      <c r="G23" s="7">
        <v>6</v>
      </c>
      <c r="H23" s="7">
        <v>5</v>
      </c>
      <c r="I23" s="7">
        <v>6</v>
      </c>
    </row>
    <row r="24" spans="1:9" x14ac:dyDescent="0.2">
      <c r="A24" s="5" t="s">
        <v>22</v>
      </c>
      <c r="B24" s="7">
        <v>1</v>
      </c>
      <c r="C24" s="7">
        <v>1</v>
      </c>
      <c r="D24" s="7">
        <v>2</v>
      </c>
      <c r="E24" s="7">
        <v>1</v>
      </c>
      <c r="F24" s="7">
        <v>1</v>
      </c>
      <c r="G24" s="7">
        <v>2</v>
      </c>
      <c r="H24" s="7">
        <v>3</v>
      </c>
      <c r="I24" s="7">
        <v>2</v>
      </c>
    </row>
    <row r="25" spans="1:9" x14ac:dyDescent="0.2">
      <c r="A25" s="5" t="s">
        <v>23</v>
      </c>
      <c r="B25" s="7">
        <v>6</v>
      </c>
      <c r="C25" s="7">
        <v>6</v>
      </c>
      <c r="D25" s="7">
        <v>6</v>
      </c>
      <c r="E25" s="7">
        <v>7</v>
      </c>
      <c r="F25" s="7">
        <v>6</v>
      </c>
      <c r="G25" s="7">
        <v>6</v>
      </c>
      <c r="H25" s="7">
        <v>5</v>
      </c>
      <c r="I25" s="7">
        <v>5</v>
      </c>
    </row>
    <row r="26" spans="1:9" x14ac:dyDescent="0.2">
      <c r="A26" s="5" t="s">
        <v>24</v>
      </c>
      <c r="B26" s="7">
        <v>4</v>
      </c>
      <c r="C26" s="7">
        <v>4</v>
      </c>
      <c r="D26" s="7">
        <v>3</v>
      </c>
      <c r="E26" s="7">
        <v>7</v>
      </c>
      <c r="F26" s="7">
        <v>4</v>
      </c>
      <c r="G26" s="7">
        <v>5</v>
      </c>
      <c r="H26" s="7">
        <v>5</v>
      </c>
      <c r="I26" s="7">
        <v>5</v>
      </c>
    </row>
    <row r="27" spans="1:9" x14ac:dyDescent="0.2">
      <c r="A27" s="5" t="s">
        <v>25</v>
      </c>
      <c r="B27" s="7">
        <v>2</v>
      </c>
      <c r="C27" s="7">
        <v>2</v>
      </c>
      <c r="D27" s="7">
        <v>2</v>
      </c>
      <c r="E27" s="7">
        <v>1</v>
      </c>
      <c r="F27" s="7">
        <v>2</v>
      </c>
      <c r="G27" s="7">
        <v>3</v>
      </c>
      <c r="H27" s="7">
        <v>3</v>
      </c>
      <c r="I27" s="7">
        <v>3</v>
      </c>
    </row>
    <row r="28" spans="1:9" x14ac:dyDescent="0.2">
      <c r="A28" s="5" t="s">
        <v>26</v>
      </c>
      <c r="B28" s="7">
        <v>2</v>
      </c>
      <c r="C28" s="7">
        <v>7</v>
      </c>
      <c r="D28" s="7">
        <v>6</v>
      </c>
      <c r="E28" s="7">
        <v>7</v>
      </c>
      <c r="F28" s="7">
        <v>4</v>
      </c>
      <c r="G28" s="7">
        <v>7</v>
      </c>
      <c r="H28" s="7">
        <v>7</v>
      </c>
      <c r="I28" s="7">
        <v>5</v>
      </c>
    </row>
    <row r="29" spans="1:9" x14ac:dyDescent="0.2">
      <c r="A29" s="5" t="s">
        <v>27</v>
      </c>
      <c r="B29" s="7">
        <v>6</v>
      </c>
      <c r="C29" s="7">
        <v>5</v>
      </c>
      <c r="D29" s="7">
        <v>3</v>
      </c>
      <c r="E29" s="7">
        <v>1</v>
      </c>
      <c r="F29" s="7">
        <v>5</v>
      </c>
      <c r="G29" s="7">
        <v>1</v>
      </c>
      <c r="H29" s="7">
        <v>4</v>
      </c>
      <c r="I29" s="7">
        <v>3</v>
      </c>
    </row>
    <row r="30" spans="1:9" x14ac:dyDescent="0.2">
      <c r="A30" s="5" t="s">
        <v>28</v>
      </c>
      <c r="B30" s="7">
        <v>1</v>
      </c>
      <c r="C30" s="7">
        <v>4</v>
      </c>
      <c r="D30" s="7">
        <v>4</v>
      </c>
      <c r="E30" s="7">
        <v>7</v>
      </c>
      <c r="F30" s="7">
        <v>4</v>
      </c>
      <c r="G30" s="7">
        <v>6</v>
      </c>
      <c r="H30" s="7">
        <v>5</v>
      </c>
      <c r="I30" s="7">
        <v>6</v>
      </c>
    </row>
    <row r="31" spans="1:9" x14ac:dyDescent="0.2">
      <c r="A31" s="5" t="s">
        <v>29</v>
      </c>
      <c r="B31" s="7">
        <v>6</v>
      </c>
      <c r="C31" s="7">
        <v>1</v>
      </c>
      <c r="D31" s="7">
        <v>1</v>
      </c>
      <c r="E31" s="7">
        <v>1</v>
      </c>
      <c r="F31" s="7">
        <v>3</v>
      </c>
      <c r="G31" s="7">
        <v>2</v>
      </c>
      <c r="H31" s="7">
        <v>2</v>
      </c>
      <c r="I31" s="7">
        <v>4</v>
      </c>
    </row>
    <row r="32" spans="1:9" x14ac:dyDescent="0.2">
      <c r="A32" s="5" t="s">
        <v>30</v>
      </c>
      <c r="B32" s="7">
        <v>7</v>
      </c>
      <c r="C32" s="7">
        <v>3</v>
      </c>
      <c r="D32" s="7">
        <v>2</v>
      </c>
      <c r="E32" s="7">
        <v>1</v>
      </c>
      <c r="F32" s="7">
        <v>3</v>
      </c>
      <c r="G32" s="7">
        <v>2</v>
      </c>
      <c r="H32" s="7">
        <v>2</v>
      </c>
      <c r="I32" s="7">
        <v>2</v>
      </c>
    </row>
    <row r="33" spans="1:9" x14ac:dyDescent="0.2">
      <c r="A33" s="5" t="s">
        <v>31</v>
      </c>
      <c r="B33" s="7">
        <v>5</v>
      </c>
      <c r="C33" s="7">
        <v>5</v>
      </c>
      <c r="D33" s="7">
        <v>6</v>
      </c>
      <c r="E33" s="7">
        <v>7</v>
      </c>
      <c r="F33" s="7">
        <v>1</v>
      </c>
      <c r="G33" s="7">
        <v>7</v>
      </c>
      <c r="H33" s="7">
        <v>6</v>
      </c>
      <c r="I33" s="7">
        <v>7</v>
      </c>
    </row>
    <row r="34" spans="1:9" x14ac:dyDescent="0.2">
      <c r="A34" s="5" t="s">
        <v>32</v>
      </c>
      <c r="B34" s="7">
        <v>4</v>
      </c>
      <c r="C34" s="7">
        <v>1</v>
      </c>
      <c r="D34" s="7">
        <v>1</v>
      </c>
      <c r="E34" s="7">
        <v>1</v>
      </c>
      <c r="F34" s="7">
        <v>1</v>
      </c>
      <c r="G34" s="7">
        <v>1</v>
      </c>
      <c r="H34" s="7">
        <v>2</v>
      </c>
      <c r="I34" s="7">
        <v>1</v>
      </c>
    </row>
    <row r="35" spans="1:9" x14ac:dyDescent="0.2">
      <c r="A35" s="5" t="s">
        <v>33</v>
      </c>
      <c r="B35" s="7">
        <v>4</v>
      </c>
      <c r="C35" s="7">
        <v>4</v>
      </c>
      <c r="D35" s="7">
        <v>1</v>
      </c>
      <c r="E35" s="7">
        <v>1</v>
      </c>
      <c r="F35" s="7">
        <v>2</v>
      </c>
      <c r="G35" s="7">
        <v>1</v>
      </c>
      <c r="H35" s="7">
        <v>2</v>
      </c>
      <c r="I35" s="7">
        <v>2</v>
      </c>
    </row>
    <row r="36" spans="1:9" x14ac:dyDescent="0.2">
      <c r="A36" s="5" t="s">
        <v>34</v>
      </c>
      <c r="B36" s="7">
        <v>3</v>
      </c>
      <c r="C36" s="7">
        <v>5</v>
      </c>
      <c r="D36" s="7">
        <v>2</v>
      </c>
      <c r="E36" s="7">
        <v>1</v>
      </c>
      <c r="F36" s="7">
        <v>1</v>
      </c>
      <c r="G36" s="7">
        <v>1</v>
      </c>
      <c r="H36" s="7">
        <v>4</v>
      </c>
      <c r="I36" s="7">
        <v>2</v>
      </c>
    </row>
    <row r="37" spans="1:9" x14ac:dyDescent="0.2">
      <c r="A37" s="5" t="s">
        <v>35</v>
      </c>
      <c r="B37" s="7">
        <v>2</v>
      </c>
      <c r="C37" s="7">
        <v>1</v>
      </c>
      <c r="D37" s="7">
        <v>1</v>
      </c>
      <c r="E37" s="7">
        <v>1</v>
      </c>
      <c r="F37" s="7">
        <v>1</v>
      </c>
      <c r="G37" s="7">
        <v>1</v>
      </c>
      <c r="H37" s="7">
        <v>2</v>
      </c>
      <c r="I37" s="7">
        <v>2</v>
      </c>
    </row>
    <row r="38" spans="1:9" x14ac:dyDescent="0.2">
      <c r="A38" s="5" t="s">
        <v>36</v>
      </c>
      <c r="B38" s="7">
        <v>5</v>
      </c>
      <c r="C38" s="7">
        <v>7</v>
      </c>
      <c r="D38" s="7">
        <v>7</v>
      </c>
      <c r="E38" s="7">
        <v>7</v>
      </c>
      <c r="F38" s="7">
        <v>7</v>
      </c>
      <c r="G38" s="7">
        <v>7</v>
      </c>
      <c r="H38" s="7">
        <v>6</v>
      </c>
      <c r="I38" s="7">
        <v>5</v>
      </c>
    </row>
    <row r="39" spans="1:9" x14ac:dyDescent="0.2">
      <c r="A39" s="5" t="s">
        <v>37</v>
      </c>
      <c r="B39" s="7">
        <v>4</v>
      </c>
      <c r="C39" s="7">
        <v>3</v>
      </c>
      <c r="D39" s="7">
        <v>1</v>
      </c>
      <c r="E39" s="7">
        <v>1</v>
      </c>
      <c r="F39" s="7">
        <v>1</v>
      </c>
      <c r="G39" s="7">
        <v>1</v>
      </c>
      <c r="H39" s="7">
        <v>2</v>
      </c>
      <c r="I39" s="7">
        <v>2</v>
      </c>
    </row>
    <row r="40" spans="1:9" x14ac:dyDescent="0.2">
      <c r="A40" s="5" t="s">
        <v>38</v>
      </c>
      <c r="B40" s="7">
        <v>4</v>
      </c>
      <c r="C40" s="7">
        <v>6</v>
      </c>
      <c r="D40" s="7">
        <v>5</v>
      </c>
      <c r="E40" s="7">
        <v>6</v>
      </c>
      <c r="F40" s="7">
        <v>5</v>
      </c>
      <c r="G40" s="7">
        <v>6</v>
      </c>
      <c r="H40" s="7">
        <v>6</v>
      </c>
      <c r="I40" s="7">
        <v>6</v>
      </c>
    </row>
    <row r="41" spans="1:9" x14ac:dyDescent="0.2">
      <c r="A41" s="5" t="s">
        <v>39</v>
      </c>
      <c r="B41" s="7">
        <v>6</v>
      </c>
      <c r="C41" s="7">
        <v>7</v>
      </c>
      <c r="D41" s="7">
        <v>6</v>
      </c>
      <c r="E41" s="7">
        <v>7</v>
      </c>
      <c r="F41" s="7">
        <v>7</v>
      </c>
      <c r="G41" s="7">
        <v>7</v>
      </c>
      <c r="H41" s="7">
        <v>6</v>
      </c>
      <c r="I41" s="7">
        <v>4</v>
      </c>
    </row>
    <row r="42" spans="1:9" x14ac:dyDescent="0.2">
      <c r="A42" s="5" t="s">
        <v>40</v>
      </c>
      <c r="B42" s="7">
        <v>4</v>
      </c>
      <c r="C42" s="7">
        <v>7</v>
      </c>
      <c r="D42" s="7">
        <v>6</v>
      </c>
      <c r="E42" s="7">
        <v>6</v>
      </c>
      <c r="F42" s="7">
        <v>7</v>
      </c>
      <c r="G42" s="7">
        <v>7</v>
      </c>
      <c r="H42" s="7">
        <v>7</v>
      </c>
      <c r="I42" s="7">
        <v>6</v>
      </c>
    </row>
    <row r="43" spans="1:9" x14ac:dyDescent="0.2">
      <c r="A43" s="5" t="s">
        <v>41</v>
      </c>
      <c r="B43" s="7">
        <v>3</v>
      </c>
      <c r="C43" s="7">
        <v>7</v>
      </c>
      <c r="D43" s="7">
        <v>5</v>
      </c>
      <c r="E43" s="7">
        <v>7</v>
      </c>
      <c r="F43" s="7">
        <v>5</v>
      </c>
      <c r="G43" s="7">
        <v>6</v>
      </c>
      <c r="H43" s="7">
        <v>7</v>
      </c>
      <c r="I43" s="7">
        <v>7</v>
      </c>
    </row>
    <row r="44" spans="1:9" x14ac:dyDescent="0.2">
      <c r="A44" s="5" t="s">
        <v>42</v>
      </c>
      <c r="B44" s="7">
        <v>5</v>
      </c>
      <c r="C44" s="7">
        <v>7</v>
      </c>
      <c r="D44" s="7">
        <v>6</v>
      </c>
      <c r="E44" s="7">
        <v>7</v>
      </c>
      <c r="F44" s="7">
        <v>7</v>
      </c>
      <c r="G44" s="7">
        <v>7</v>
      </c>
      <c r="H44" s="7">
        <v>7</v>
      </c>
      <c r="I44" s="7">
        <v>6</v>
      </c>
    </row>
    <row r="45" spans="1:9" x14ac:dyDescent="0.2">
      <c r="A45" s="5" t="s">
        <v>43</v>
      </c>
      <c r="B45" s="7">
        <v>4</v>
      </c>
      <c r="C45" s="7">
        <v>6</v>
      </c>
      <c r="D45" s="7">
        <v>5</v>
      </c>
      <c r="E45" s="7">
        <v>6</v>
      </c>
      <c r="F45" s="7">
        <v>4</v>
      </c>
      <c r="G45" s="7">
        <v>6</v>
      </c>
      <c r="H45" s="7">
        <v>6</v>
      </c>
      <c r="I45" s="7">
        <v>6</v>
      </c>
    </row>
    <row r="46" spans="1:9" x14ac:dyDescent="0.2">
      <c r="A46" s="5" t="s">
        <v>44</v>
      </c>
      <c r="B46" s="7">
        <v>3</v>
      </c>
      <c r="C46" s="7">
        <v>6</v>
      </c>
      <c r="D46" s="7">
        <v>7</v>
      </c>
      <c r="E46" s="7">
        <v>7</v>
      </c>
      <c r="F46" s="7">
        <v>6</v>
      </c>
      <c r="G46" s="7">
        <v>7</v>
      </c>
      <c r="H46" s="7">
        <v>4</v>
      </c>
      <c r="I46" s="7">
        <v>3</v>
      </c>
    </row>
    <row r="47" spans="1:9" x14ac:dyDescent="0.2">
      <c r="A47" s="5" t="s">
        <v>45</v>
      </c>
      <c r="B47" s="7">
        <v>5</v>
      </c>
      <c r="C47" s="7">
        <v>6</v>
      </c>
      <c r="D47" s="7">
        <v>5</v>
      </c>
      <c r="E47" s="7">
        <v>7</v>
      </c>
      <c r="F47" s="7">
        <v>7</v>
      </c>
      <c r="G47" s="7">
        <v>7</v>
      </c>
      <c r="H47" s="7">
        <v>6</v>
      </c>
      <c r="I47" s="7">
        <v>7</v>
      </c>
    </row>
    <row r="48" spans="1:9" x14ac:dyDescent="0.2">
      <c r="A48" s="5" t="s">
        <v>46</v>
      </c>
      <c r="B48" s="7">
        <v>6</v>
      </c>
      <c r="C48" s="7">
        <v>5</v>
      </c>
      <c r="D48" s="7">
        <v>5</v>
      </c>
      <c r="E48" s="7">
        <v>7</v>
      </c>
      <c r="F48" s="7">
        <v>7</v>
      </c>
      <c r="G48" s="7">
        <v>7</v>
      </c>
      <c r="H48" s="7">
        <v>6</v>
      </c>
      <c r="I48" s="7">
        <v>7</v>
      </c>
    </row>
    <row r="49" spans="1:9" x14ac:dyDescent="0.2">
      <c r="A49" s="5" t="s">
        <v>47</v>
      </c>
      <c r="B49" s="7">
        <v>4</v>
      </c>
      <c r="C49" s="7">
        <v>2</v>
      </c>
      <c r="D49" s="7">
        <v>2</v>
      </c>
      <c r="E49" s="7">
        <v>1</v>
      </c>
      <c r="F49" s="7">
        <v>1</v>
      </c>
      <c r="G49" s="7">
        <v>1</v>
      </c>
      <c r="H49" s="7">
        <v>1</v>
      </c>
      <c r="I49" s="7">
        <v>2</v>
      </c>
    </row>
    <row r="50" spans="1:9" x14ac:dyDescent="0.2">
      <c r="A50" s="5" t="s">
        <v>48</v>
      </c>
      <c r="B50" s="7">
        <v>2</v>
      </c>
      <c r="C50" s="7">
        <v>2</v>
      </c>
      <c r="D50" s="7">
        <v>2</v>
      </c>
      <c r="E50" s="7">
        <v>1</v>
      </c>
      <c r="F50" s="7">
        <v>1</v>
      </c>
      <c r="G50" s="7">
        <v>2</v>
      </c>
      <c r="H50" s="7">
        <v>1</v>
      </c>
      <c r="I50" s="7">
        <v>2</v>
      </c>
    </row>
    <row r="51" spans="1:9" x14ac:dyDescent="0.2">
      <c r="A51" s="5" t="s">
        <v>49</v>
      </c>
      <c r="B51" s="7">
        <v>3</v>
      </c>
      <c r="C51" s="7">
        <v>2</v>
      </c>
      <c r="D51" s="7">
        <v>3</v>
      </c>
      <c r="E51" s="7">
        <v>1</v>
      </c>
      <c r="F51" s="7">
        <v>2</v>
      </c>
      <c r="G51" s="7">
        <v>1</v>
      </c>
      <c r="H51" s="7">
        <v>2</v>
      </c>
      <c r="I51" s="7">
        <v>2</v>
      </c>
    </row>
    <row r="52" spans="1:9" x14ac:dyDescent="0.2">
      <c r="A52" s="5" t="s">
        <v>50</v>
      </c>
      <c r="B52" s="7">
        <v>5</v>
      </c>
      <c r="C52" s="7">
        <v>6</v>
      </c>
      <c r="D52" s="7">
        <v>7</v>
      </c>
      <c r="E52" s="7">
        <v>7</v>
      </c>
      <c r="F52" s="7">
        <v>7</v>
      </c>
      <c r="G52" s="7">
        <v>7</v>
      </c>
      <c r="H52" s="7">
        <v>6</v>
      </c>
      <c r="I52" s="7">
        <v>5</v>
      </c>
    </row>
    <row r="53" spans="1:9" x14ac:dyDescent="0.2">
      <c r="A53" s="5" t="s">
        <v>51</v>
      </c>
      <c r="B53" s="7">
        <v>5</v>
      </c>
      <c r="C53" s="7">
        <v>6</v>
      </c>
      <c r="D53" s="7">
        <v>6</v>
      </c>
      <c r="E53" s="7">
        <v>7</v>
      </c>
      <c r="F53" s="7">
        <v>7</v>
      </c>
      <c r="G53" s="7">
        <v>7</v>
      </c>
      <c r="H53" s="7">
        <v>7</v>
      </c>
      <c r="I53" s="7">
        <v>6</v>
      </c>
    </row>
    <row r="54" spans="1:9" x14ac:dyDescent="0.2">
      <c r="A54" s="5" t="s">
        <v>52</v>
      </c>
      <c r="B54" s="7">
        <v>5</v>
      </c>
      <c r="C54" s="7">
        <v>5</v>
      </c>
      <c r="D54" s="7">
        <v>5</v>
      </c>
      <c r="E54" s="7">
        <v>1</v>
      </c>
      <c r="F54" s="7">
        <v>5</v>
      </c>
      <c r="G54" s="7">
        <v>5</v>
      </c>
      <c r="H54" s="7">
        <v>2</v>
      </c>
      <c r="I54" s="7">
        <v>4</v>
      </c>
    </row>
    <row r="55" spans="1:9" x14ac:dyDescent="0.2">
      <c r="A55" s="5" t="s">
        <v>53</v>
      </c>
      <c r="B55" s="7">
        <v>5</v>
      </c>
      <c r="C55" s="7">
        <v>4</v>
      </c>
      <c r="D55" s="7">
        <v>4</v>
      </c>
      <c r="E55" s="7">
        <v>1</v>
      </c>
      <c r="F55" s="7">
        <v>3</v>
      </c>
      <c r="G55" s="7">
        <v>2</v>
      </c>
      <c r="H55" s="7">
        <v>2</v>
      </c>
      <c r="I55" s="7">
        <v>4</v>
      </c>
    </row>
    <row r="56" spans="1:9" x14ac:dyDescent="0.2">
      <c r="A56" s="5" t="s">
        <v>54</v>
      </c>
      <c r="B56" s="7">
        <v>3</v>
      </c>
      <c r="C56" s="7">
        <v>1</v>
      </c>
      <c r="D56" s="7">
        <v>2</v>
      </c>
      <c r="E56" s="7">
        <v>1</v>
      </c>
      <c r="F56" s="7">
        <v>1</v>
      </c>
      <c r="G56" s="7">
        <v>1</v>
      </c>
      <c r="H56" s="7">
        <v>3</v>
      </c>
      <c r="I56" s="7">
        <v>1</v>
      </c>
    </row>
    <row r="57" spans="1:9" x14ac:dyDescent="0.2">
      <c r="A57" s="5" t="s">
        <v>55</v>
      </c>
      <c r="B57" s="7">
        <v>3</v>
      </c>
      <c r="C57" s="7">
        <v>7</v>
      </c>
      <c r="D57" s="7">
        <v>4</v>
      </c>
      <c r="E57" s="7">
        <v>7</v>
      </c>
      <c r="F57" s="7">
        <v>6</v>
      </c>
      <c r="G57" s="7">
        <v>7</v>
      </c>
      <c r="H57" s="7">
        <v>6</v>
      </c>
      <c r="I57" s="7">
        <v>6</v>
      </c>
    </row>
    <row r="58" spans="1:9" x14ac:dyDescent="0.2">
      <c r="A58" s="5" t="s">
        <v>56</v>
      </c>
      <c r="B58" s="7">
        <v>3</v>
      </c>
      <c r="C58" s="7">
        <v>1</v>
      </c>
      <c r="D58" s="7">
        <v>1</v>
      </c>
      <c r="E58" s="7">
        <v>1</v>
      </c>
      <c r="F58" s="7">
        <v>3</v>
      </c>
      <c r="G58" s="7">
        <v>1</v>
      </c>
      <c r="H58" s="7">
        <v>1</v>
      </c>
      <c r="I58" s="7">
        <v>1</v>
      </c>
    </row>
    <row r="59" spans="1:9" x14ac:dyDescent="0.2">
      <c r="A59" s="5" t="s">
        <v>57</v>
      </c>
      <c r="B59" s="7">
        <v>4</v>
      </c>
      <c r="C59" s="7">
        <v>4</v>
      </c>
      <c r="D59" s="7">
        <v>5</v>
      </c>
      <c r="E59" s="7">
        <v>1</v>
      </c>
      <c r="F59" s="7">
        <v>4</v>
      </c>
      <c r="G59" s="7">
        <v>6</v>
      </c>
      <c r="H59" s="7">
        <v>5</v>
      </c>
      <c r="I59" s="7">
        <v>5</v>
      </c>
    </row>
    <row r="60" spans="1:9" x14ac:dyDescent="0.2">
      <c r="A60" s="5" t="s">
        <v>58</v>
      </c>
      <c r="B60" s="7">
        <v>4</v>
      </c>
      <c r="C60" s="7">
        <v>7</v>
      </c>
      <c r="D60" s="7">
        <v>6</v>
      </c>
      <c r="E60" s="7">
        <v>7</v>
      </c>
      <c r="F60" s="7">
        <v>7</v>
      </c>
      <c r="G60" s="7">
        <v>7</v>
      </c>
      <c r="H60" s="7">
        <v>6</v>
      </c>
      <c r="I60" s="7">
        <v>6</v>
      </c>
    </row>
    <row r="61" spans="1:9" x14ac:dyDescent="0.2">
      <c r="A61" s="5" t="s">
        <v>59</v>
      </c>
      <c r="B61" s="7">
        <v>3</v>
      </c>
      <c r="C61" s="7">
        <v>6</v>
      </c>
      <c r="D61" s="7">
        <v>4</v>
      </c>
      <c r="E61" s="7">
        <v>7</v>
      </c>
      <c r="F61" s="7">
        <v>6</v>
      </c>
      <c r="G61" s="7">
        <v>7</v>
      </c>
      <c r="H61" s="7">
        <v>6</v>
      </c>
      <c r="I61" s="7">
        <v>6</v>
      </c>
    </row>
    <row r="62" spans="1:9" x14ac:dyDescent="0.2">
      <c r="A62" s="5" t="s">
        <v>60</v>
      </c>
      <c r="B62" s="7">
        <v>4</v>
      </c>
      <c r="C62" s="7">
        <v>7</v>
      </c>
      <c r="D62" s="7">
        <v>4</v>
      </c>
      <c r="E62" s="7">
        <v>7</v>
      </c>
      <c r="F62" s="7">
        <v>7</v>
      </c>
      <c r="G62" s="7">
        <v>7</v>
      </c>
      <c r="H62" s="7">
        <v>7</v>
      </c>
      <c r="I62" s="7">
        <v>7</v>
      </c>
    </row>
    <row r="63" spans="1:9" x14ac:dyDescent="0.2">
      <c r="A63" s="5" t="s">
        <v>61</v>
      </c>
      <c r="B63" s="7">
        <v>3</v>
      </c>
      <c r="C63" s="7">
        <v>4</v>
      </c>
      <c r="D63" s="7">
        <v>4</v>
      </c>
      <c r="E63" s="7">
        <v>1</v>
      </c>
      <c r="F63" s="7">
        <v>1</v>
      </c>
      <c r="G63" s="7">
        <v>1</v>
      </c>
      <c r="H63" s="7">
        <v>1</v>
      </c>
      <c r="I63" s="7">
        <v>2</v>
      </c>
    </row>
    <row r="64" spans="1:9" x14ac:dyDescent="0.2">
      <c r="A64" s="5" t="s">
        <v>62</v>
      </c>
      <c r="B64" s="7">
        <v>3</v>
      </c>
      <c r="C64" s="7">
        <v>2</v>
      </c>
      <c r="D64" s="7">
        <v>2</v>
      </c>
      <c r="E64" s="7">
        <v>1</v>
      </c>
      <c r="F64" s="7">
        <v>2</v>
      </c>
      <c r="G64" s="7">
        <v>1</v>
      </c>
      <c r="H64" s="7">
        <v>1</v>
      </c>
      <c r="I64" s="7">
        <v>2</v>
      </c>
    </row>
    <row r="65" spans="1:11" x14ac:dyDescent="0.2">
      <c r="A65" s="5" t="s">
        <v>63</v>
      </c>
      <c r="B65" s="7">
        <v>3</v>
      </c>
      <c r="C65" s="7">
        <v>2</v>
      </c>
      <c r="D65" s="7">
        <v>3</v>
      </c>
      <c r="E65" s="7">
        <v>1</v>
      </c>
      <c r="F65" s="7">
        <v>4</v>
      </c>
      <c r="G65" s="7">
        <v>2</v>
      </c>
      <c r="H65" s="7">
        <v>2</v>
      </c>
      <c r="I65" s="7">
        <v>2</v>
      </c>
    </row>
    <row r="66" spans="1:11" x14ac:dyDescent="0.2">
      <c r="A66" s="5" t="s">
        <v>64</v>
      </c>
      <c r="B66" s="7">
        <v>3</v>
      </c>
      <c r="C66" s="7">
        <v>5</v>
      </c>
      <c r="D66" s="7">
        <v>4</v>
      </c>
      <c r="E66" s="7">
        <v>7</v>
      </c>
      <c r="F66" s="7">
        <v>6</v>
      </c>
      <c r="G66" s="7">
        <v>7</v>
      </c>
      <c r="H66" s="7">
        <v>7</v>
      </c>
      <c r="I66" s="7">
        <v>5</v>
      </c>
    </row>
    <row r="67" spans="1:11" x14ac:dyDescent="0.2">
      <c r="A67" s="5" t="s">
        <v>65</v>
      </c>
      <c r="B67" s="7">
        <v>2</v>
      </c>
      <c r="C67" s="7">
        <v>2</v>
      </c>
      <c r="D67" s="7">
        <v>2</v>
      </c>
      <c r="E67" s="7">
        <v>1</v>
      </c>
      <c r="F67" s="7">
        <v>2</v>
      </c>
      <c r="G67" s="7">
        <v>1</v>
      </c>
      <c r="H67" s="7">
        <v>1</v>
      </c>
      <c r="I67" s="7">
        <v>2</v>
      </c>
    </row>
    <row r="68" spans="1:11" x14ac:dyDescent="0.2">
      <c r="A68" s="5" t="s">
        <v>66</v>
      </c>
      <c r="B68" s="7">
        <v>6</v>
      </c>
      <c r="C68" s="7">
        <v>6</v>
      </c>
      <c r="D68" s="7">
        <v>6</v>
      </c>
      <c r="E68" s="7">
        <v>7</v>
      </c>
      <c r="F68" s="7">
        <v>7</v>
      </c>
      <c r="G68" s="7">
        <v>5</v>
      </c>
      <c r="H68" s="7">
        <v>6</v>
      </c>
      <c r="I68" s="7">
        <v>5</v>
      </c>
    </row>
    <row r="69" spans="1:11" x14ac:dyDescent="0.2">
      <c r="A69" s="5" t="s">
        <v>67</v>
      </c>
      <c r="B69" s="7">
        <v>4</v>
      </c>
      <c r="C69" s="7">
        <v>1</v>
      </c>
      <c r="D69" s="7">
        <v>3</v>
      </c>
      <c r="E69" s="7">
        <v>1</v>
      </c>
      <c r="F69" s="7">
        <v>2</v>
      </c>
      <c r="G69" s="7">
        <v>1</v>
      </c>
      <c r="H69" s="7">
        <v>2</v>
      </c>
      <c r="I69" s="7">
        <v>3</v>
      </c>
    </row>
    <row r="70" spans="1:11" x14ac:dyDescent="0.2">
      <c r="A70" s="5" t="s">
        <v>68</v>
      </c>
      <c r="B70" s="7">
        <v>3</v>
      </c>
      <c r="C70" s="7">
        <v>2</v>
      </c>
      <c r="D70" s="7">
        <v>1</v>
      </c>
      <c r="E70" s="7">
        <v>1</v>
      </c>
      <c r="F70" s="7">
        <v>1</v>
      </c>
      <c r="G70" s="7">
        <v>1</v>
      </c>
      <c r="H70" s="7">
        <v>1</v>
      </c>
      <c r="I70" s="7">
        <v>2</v>
      </c>
    </row>
    <row r="71" spans="1:11" x14ac:dyDescent="0.2">
      <c r="A71" s="5" t="s">
        <v>69</v>
      </c>
      <c r="B71" s="7">
        <v>5</v>
      </c>
      <c r="C71" s="7">
        <v>2</v>
      </c>
      <c r="D71" s="7">
        <v>1</v>
      </c>
      <c r="E71" s="7">
        <v>7</v>
      </c>
      <c r="F71" s="7">
        <v>1</v>
      </c>
      <c r="G71" s="7">
        <v>1</v>
      </c>
      <c r="H71" s="7">
        <v>1</v>
      </c>
      <c r="I71" s="7">
        <v>2</v>
      </c>
    </row>
    <row r="72" spans="1:11" x14ac:dyDescent="0.2">
      <c r="A72" s="5" t="s">
        <v>70</v>
      </c>
      <c r="B72" s="7">
        <v>5</v>
      </c>
      <c r="C72" s="7">
        <v>6</v>
      </c>
      <c r="D72" s="7">
        <v>5</v>
      </c>
      <c r="E72" s="7">
        <v>7</v>
      </c>
      <c r="F72" s="7">
        <v>7</v>
      </c>
      <c r="G72" s="7">
        <v>7</v>
      </c>
      <c r="H72" s="7">
        <v>7</v>
      </c>
      <c r="I72" s="7">
        <v>6</v>
      </c>
    </row>
    <row r="74" spans="1:11" x14ac:dyDescent="0.2">
      <c r="A74" s="8" t="s">
        <v>83</v>
      </c>
      <c r="K74" s="4" t="s">
        <v>85</v>
      </c>
    </row>
    <row r="75" spans="1:11" x14ac:dyDescent="0.2">
      <c r="A75" s="5" t="s">
        <v>77</v>
      </c>
      <c r="B75" s="3">
        <f>(B11+B12+(8-B13)+(8-B14)+B15+B16+B17)/7</f>
        <v>5</v>
      </c>
      <c r="C75" s="3">
        <f t="shared" ref="C75:I75" si="0">(C11+C12+(8-C13)+(8-C14)+C15+C16+C17)/7</f>
        <v>6.1428571428571432</v>
      </c>
      <c r="D75" s="3">
        <f>(D11+D12+(8-D13)+(8-D14)+D15+D16+D17)/7</f>
        <v>6.2857142857142856</v>
      </c>
      <c r="E75" s="3">
        <f t="shared" si="0"/>
        <v>7</v>
      </c>
      <c r="F75" s="3">
        <f t="shared" si="0"/>
        <v>6.7142857142857144</v>
      </c>
      <c r="G75" s="3">
        <f t="shared" si="0"/>
        <v>7</v>
      </c>
      <c r="H75" s="3">
        <f t="shared" si="0"/>
        <v>5.1428571428571432</v>
      </c>
      <c r="I75" s="3">
        <f t="shared" si="0"/>
        <v>6</v>
      </c>
      <c r="K75" s="4">
        <f>AVERAGE(B75:I75)</f>
        <v>6.1607142857142856</v>
      </c>
    </row>
    <row r="76" spans="1:11" x14ac:dyDescent="0.2">
      <c r="A76" s="5" t="s">
        <v>78</v>
      </c>
      <c r="B76" s="3">
        <f>(SUM(B18:B21)+(8-B22))/5</f>
        <v>4.2</v>
      </c>
      <c r="C76" s="3">
        <f t="shared" ref="C76:I76" si="1">(SUM(C18:C21)+(8-C22))/5</f>
        <v>5.4</v>
      </c>
      <c r="D76" s="3">
        <f t="shared" si="1"/>
        <v>4.4000000000000004</v>
      </c>
      <c r="E76" s="3">
        <f t="shared" si="1"/>
        <v>6.4</v>
      </c>
      <c r="F76" s="3">
        <f t="shared" si="1"/>
        <v>3.4</v>
      </c>
      <c r="G76" s="3">
        <f t="shared" si="1"/>
        <v>5.6</v>
      </c>
      <c r="H76" s="3">
        <f t="shared" si="1"/>
        <v>3.8</v>
      </c>
      <c r="I76" s="3">
        <f t="shared" si="1"/>
        <v>5.6</v>
      </c>
      <c r="K76" s="4">
        <f t="shared" ref="K76:K80" si="2">AVERAGE(B76:I76)</f>
        <v>4.8499999999999996</v>
      </c>
    </row>
    <row r="77" spans="1:11" x14ac:dyDescent="0.2">
      <c r="A77" s="5" t="s">
        <v>79</v>
      </c>
      <c r="B77" s="3">
        <f>(B23+(8-B24)+B25+B26+(8-B27))/5</f>
        <v>5.8</v>
      </c>
      <c r="C77" s="3">
        <f t="shared" ref="C77:I77" si="3">(C23+(8-C24)+C25+C26+(8-C27))/5</f>
        <v>6</v>
      </c>
      <c r="D77" s="3">
        <f t="shared" si="3"/>
        <v>5</v>
      </c>
      <c r="E77" s="3">
        <f t="shared" si="3"/>
        <v>7</v>
      </c>
      <c r="F77" s="3">
        <f t="shared" si="3"/>
        <v>5.4</v>
      </c>
      <c r="G77" s="3">
        <f t="shared" si="3"/>
        <v>5.6</v>
      </c>
      <c r="H77" s="3">
        <f t="shared" si="3"/>
        <v>5</v>
      </c>
      <c r="I77" s="3">
        <f t="shared" si="3"/>
        <v>5.4</v>
      </c>
      <c r="K77" s="4">
        <f t="shared" si="2"/>
        <v>5.65</v>
      </c>
    </row>
    <row r="78" spans="1:11" x14ac:dyDescent="0.2">
      <c r="A78" s="5" t="s">
        <v>80</v>
      </c>
      <c r="B78" s="3">
        <f>((8-B28)+B29+(8-B30)+B31+B32)/5</f>
        <v>6.4</v>
      </c>
      <c r="C78" s="3">
        <f t="shared" ref="C78:I78" si="4">((8-C28)+C29+(8-C30)+C31+C32)/5</f>
        <v>2.8</v>
      </c>
      <c r="D78" s="3">
        <f t="shared" si="4"/>
        <v>2.4</v>
      </c>
      <c r="E78" s="3">
        <f t="shared" si="4"/>
        <v>1</v>
      </c>
      <c r="F78" s="3">
        <f t="shared" si="4"/>
        <v>3.8</v>
      </c>
      <c r="G78" s="3">
        <f t="shared" si="4"/>
        <v>1.6</v>
      </c>
      <c r="H78" s="3">
        <f t="shared" si="4"/>
        <v>2.4</v>
      </c>
      <c r="I78" s="3">
        <f t="shared" si="4"/>
        <v>2.8</v>
      </c>
      <c r="K78" s="4">
        <f t="shared" si="2"/>
        <v>2.9</v>
      </c>
    </row>
    <row r="79" spans="1:11" x14ac:dyDescent="0.2">
      <c r="A79" s="5" t="s">
        <v>81</v>
      </c>
      <c r="B79" s="3">
        <f>(B33+((8*4)-SUM(B34:B37))+B38+(8-B39))/7</f>
        <v>4.7142857142857144</v>
      </c>
      <c r="C79" s="3">
        <f t="shared" ref="C79:I79" si="5">(C33+((8*4)-SUM(C34:C37))+C38+(8-C39))/7</f>
        <v>5.4285714285714288</v>
      </c>
      <c r="D79" s="3">
        <f t="shared" si="5"/>
        <v>6.7142857142857144</v>
      </c>
      <c r="E79" s="3">
        <f t="shared" si="5"/>
        <v>7</v>
      </c>
      <c r="F79" s="3">
        <f t="shared" si="5"/>
        <v>6</v>
      </c>
      <c r="G79" s="3">
        <f t="shared" si="5"/>
        <v>7</v>
      </c>
      <c r="H79" s="3">
        <f t="shared" si="5"/>
        <v>5.7142857142857144</v>
      </c>
      <c r="I79" s="3">
        <f t="shared" si="5"/>
        <v>6.1428571428571432</v>
      </c>
      <c r="K79" s="4">
        <f t="shared" si="2"/>
        <v>6.0892857142857153</v>
      </c>
    </row>
    <row r="80" spans="1:11" x14ac:dyDescent="0.2">
      <c r="A80" s="5" t="s">
        <v>82</v>
      </c>
      <c r="B80" s="3">
        <f>SUM(B40:B46)/7</f>
        <v>4.1428571428571432</v>
      </c>
      <c r="C80" s="3">
        <f t="shared" ref="C80:I80" si="6">SUM(C40:C46)/7</f>
        <v>6.5714285714285712</v>
      </c>
      <c r="D80" s="3">
        <f t="shared" si="6"/>
        <v>5.7142857142857144</v>
      </c>
      <c r="E80" s="3">
        <f t="shared" si="6"/>
        <v>6.5714285714285712</v>
      </c>
      <c r="F80" s="3">
        <f t="shared" si="6"/>
        <v>5.8571428571428568</v>
      </c>
      <c r="G80" s="3">
        <f t="shared" si="6"/>
        <v>6.5714285714285712</v>
      </c>
      <c r="H80" s="3">
        <f t="shared" si="6"/>
        <v>6.1428571428571432</v>
      </c>
      <c r="I80" s="3">
        <f t="shared" si="6"/>
        <v>5.4285714285714288</v>
      </c>
      <c r="K80" s="4">
        <f t="shared" si="2"/>
        <v>5.8750000000000009</v>
      </c>
    </row>
    <row r="82" spans="1:8" x14ac:dyDescent="0.2">
      <c r="A82" s="11" t="s">
        <v>86</v>
      </c>
    </row>
    <row r="83" spans="1:8" x14ac:dyDescent="0.2">
      <c r="A83" s="10" t="s">
        <v>72</v>
      </c>
      <c r="B83" s="4" t="s">
        <v>91</v>
      </c>
      <c r="C83" s="12">
        <v>0.875</v>
      </c>
    </row>
    <row r="84" spans="1:8" x14ac:dyDescent="0.2">
      <c r="A84" s="10" t="s">
        <v>74</v>
      </c>
      <c r="B84" s="4" t="s">
        <v>92</v>
      </c>
      <c r="C84" s="12">
        <v>0.125</v>
      </c>
    </row>
    <row r="85" spans="1:8" x14ac:dyDescent="0.2">
      <c r="A85" s="10" t="s">
        <v>73</v>
      </c>
      <c r="B85" s="4" t="s">
        <v>88</v>
      </c>
      <c r="C85" s="12">
        <v>0.625</v>
      </c>
    </row>
    <row r="86" spans="1:8" x14ac:dyDescent="0.2">
      <c r="A86" s="10" t="s">
        <v>75</v>
      </c>
      <c r="B86" s="4" t="s">
        <v>87</v>
      </c>
      <c r="C86" s="12">
        <v>0.375</v>
      </c>
    </row>
    <row r="88" spans="1:8" x14ac:dyDescent="0.2">
      <c r="A88" s="11"/>
    </row>
    <row r="89" spans="1:8" x14ac:dyDescent="0.2">
      <c r="A89" s="10"/>
    </row>
    <row r="91" spans="1:8" x14ac:dyDescent="0.2">
      <c r="A91" s="11"/>
    </row>
    <row r="92" spans="1:8" x14ac:dyDescent="0.2">
      <c r="A92" s="10"/>
      <c r="B92" s="4"/>
      <c r="H92" s="4"/>
    </row>
    <row r="93" spans="1:8" x14ac:dyDescent="0.2">
      <c r="A93" s="10"/>
    </row>
    <row r="94" spans="1:8" x14ac:dyDescent="0.2">
      <c r="A94" s="10"/>
    </row>
    <row r="95" spans="1:8" x14ac:dyDescent="0.2">
      <c r="A9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DSKTP Responses</vt:lpstr>
      <vt:lpstr>AMBLTR Responses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2022-07-03T07:21:22Z</dcterms:created>
  <dcterms:modified xsi:type="dcterms:W3CDTF">2022-07-08T11:28:34Z</dcterms:modified>
</cp:coreProperties>
</file>